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bbb42be16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ashboard" sheetId="1" r:id="R2020a931fadb4a48"/>
    <x:sheet xmlns:r="http://schemas.openxmlformats.org/officeDocument/2006/relationships" name="01 Step Blueprint" sheetId="2" r:id="R039a5b20b3eb44ed"/>
    <x:sheet xmlns:r="http://schemas.openxmlformats.org/officeDocument/2006/relationships" name="02 Epics" sheetId="3" r:id="Rab62e5423f664345"/>
    <x:sheet xmlns:r="http://schemas.openxmlformats.org/officeDocument/2006/relationships" name="03 User Stories" sheetId="4" r:id="R11209dd01c3e4e10"/>
    <x:sheet xmlns:r="http://schemas.openxmlformats.org/officeDocument/2006/relationships" name="04 Acceptance Criteria" sheetId="5" r:id="R0a58efa126ec4e2a"/>
    <x:sheet xmlns:r="http://schemas.openxmlformats.org/officeDocument/2006/relationships" name="05 Traceability Matrix" sheetId="6" r:id="R3c7eee6dc18445f6"/>
    <x:sheet xmlns:r="http://schemas.openxmlformats.org/officeDocument/2006/relationships" name="07 Dependencies" sheetId="7" r:id="R4d3c8001f4f8472c"/>
    <x:sheet xmlns:r="http://schemas.openxmlformats.org/officeDocument/2006/relationships" name="08 Risks RAID" sheetId="8" r:id="Rda3a9530433f468d"/>
    <x:sheet xmlns:r="http://schemas.openxmlformats.org/officeDocument/2006/relationships" name="09 Cost Resource Plan" sheetId="9" r:id="Rf62a22705d8744bc"/>
    <x:sheet xmlns:r="http://schemas.openxmlformats.org/officeDocument/2006/relationships" name="10 Stakeholder RACI" sheetId="10" r:id="Rfcad032611244d76"/>
    <x:sheet xmlns:r="http://schemas.openxmlformats.org/officeDocument/2006/relationships" name="11 Metrics KPI Library" sheetId="11" r:id="R0de7f1295e8c42d5"/>
    <x:sheet xmlns:r="http://schemas.openxmlformats.org/officeDocument/2006/relationships" name="12 Reporting Cards" sheetId="12" r:id="R307a37ee2cc941f7"/>
    <x:sheet xmlns:r="http://schemas.openxmlformats.org/officeDocument/2006/relationships" name="13 Delivery Roadmap" sheetId="13" r:id="R86afa91f8cab41f5"/>
    <x:sheet xmlns:r="http://schemas.openxmlformats.org/officeDocument/2006/relationships" name="14 Team Operating Model" sheetId="14" r:id="Reff6aeaa531947b3"/>
    <x:sheet xmlns:r="http://schemas.openxmlformats.org/officeDocument/2006/relationships" name="15 Integration Plan" sheetId="15" r:id="R1dc0af2dd4464c11"/>
    <x:sheet xmlns:r="http://schemas.openxmlformats.org/officeDocument/2006/relationships" name="16 Mermaid Source" sheetId="16" r:id="R64b8ad7006bf4c96"/>
    <x:sheet xmlns:r="http://schemas.openxmlformats.org/officeDocument/2006/relationships" name="17 Sources" sheetId="17" r:id="R72db1d92af02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£#,##0"/>
    <x:numFmt numFmtId="201" formatCode="yyyy-mm-dd"/>
    <x:numFmt numFmtId="202" formatCode="General"/>
  </x:numFmts>
  <x:fonts count="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6"/>
      <x:name val="Carlito"/>
    </x:font>
    <x:font>
      <x:b/>
      <x:sz val="11"/>
      <x:color rgb="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7FBFF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2373f5aae4cb3" /><Relationship Type="http://schemas.openxmlformats.org/officeDocument/2006/relationships/theme" Target="/xl/theme/theme1.xml" Id="Rd8ece9bf2d354351" /><Relationship Type="http://schemas.openxmlformats.org/officeDocument/2006/relationships/sharedStrings" Target="/xl/sharedStrings.xml" Id="R530f7045e8154e1d" /><Relationship Type="http://schemas.openxmlformats.org/officeDocument/2006/relationships/worksheet" Target="/xl/worksheets/sheet1.xml" Id="R2020a931fadb4a48" /><Relationship Type="http://schemas.openxmlformats.org/officeDocument/2006/relationships/worksheet" Target="/xl/worksheets/sheet2.xml" Id="R039a5b20b3eb44ed" /><Relationship Type="http://schemas.openxmlformats.org/officeDocument/2006/relationships/worksheet" Target="/xl/worksheets/sheet3.xml" Id="Rab62e5423f664345" /><Relationship Type="http://schemas.openxmlformats.org/officeDocument/2006/relationships/worksheet" Target="/xl/worksheets/sheet4.xml" Id="R11209dd01c3e4e10" /><Relationship Type="http://schemas.openxmlformats.org/officeDocument/2006/relationships/worksheet" Target="/xl/worksheets/sheet5.xml" Id="R0a58efa126ec4e2a" /><Relationship Type="http://schemas.openxmlformats.org/officeDocument/2006/relationships/worksheet" Target="/xl/worksheets/sheet6.xml" Id="R3c7eee6dc18445f6" /><Relationship Type="http://schemas.openxmlformats.org/officeDocument/2006/relationships/worksheet" Target="/xl/worksheets/sheet7.xml" Id="R4d3c8001f4f8472c" /><Relationship Type="http://schemas.openxmlformats.org/officeDocument/2006/relationships/worksheet" Target="/xl/worksheets/sheet8.xml" Id="Rda3a9530433f468d" /><Relationship Type="http://schemas.openxmlformats.org/officeDocument/2006/relationships/worksheet" Target="/xl/worksheets/sheet9.xml" Id="Rf62a22705d8744bc" /><Relationship Type="http://schemas.openxmlformats.org/officeDocument/2006/relationships/worksheet" Target="/xl/worksheets/sheet10.xml" Id="Rfcad032611244d76" /><Relationship Type="http://schemas.openxmlformats.org/officeDocument/2006/relationships/worksheet" Target="/xl/worksheets/sheet11.xml" Id="R0de7f1295e8c42d5" /><Relationship Type="http://schemas.openxmlformats.org/officeDocument/2006/relationships/worksheet" Target="/xl/worksheets/sheet12.xml" Id="R307a37ee2cc941f7" /><Relationship Type="http://schemas.openxmlformats.org/officeDocument/2006/relationships/worksheet" Target="/xl/worksheets/sheet13.xml" Id="R86afa91f8cab41f5" /><Relationship Type="http://schemas.openxmlformats.org/officeDocument/2006/relationships/worksheet" Target="/xl/worksheets/sheet14.xml" Id="Reff6aeaa531947b3" /><Relationship Type="http://schemas.openxmlformats.org/officeDocument/2006/relationships/worksheet" Target="/xl/worksheets/sheet15.xml" Id="R1dc0af2dd4464c11" /><Relationship Type="http://schemas.openxmlformats.org/officeDocument/2006/relationships/worksheet" Target="/xl/worksheets/sheet16.xml" Id="R64b8ad7006bf4c96" /><Relationship Type="http://schemas.openxmlformats.org/officeDocument/2006/relationships/worksheet" Target="/xl/worksheets/sheet17.xml" Id="R72db1d92af0248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5ee64e7f5a4a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Indicative Cost by Phase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Estimated Cost £</c:v>
          </c:tx>
          <c:cat>
            <c:strRef>
              <c:f>'00 Dashboard'!$J$4:$J$8</c:f>
              <c:strCache>
                <c:ptCount val="0"/>
              </c:strCache>
            </c:strRef>
          </c:cat>
          <c:val>
            <c:numRef>
              <c:f>'00 Dashboard'!$K$4:$K$8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5ee64e7f5a4a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577ae71b0e4b9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4" max="4" width="20" hidden="0" customWidth="1"/>
    <x:col min="5" max="5" width="32" hidden="0" customWidth="1"/>
    <x:col min="6" max="6" width="18" hidden="0" customWidth="1"/>
    <x:col min="7" max="7" width="22" hidden="0" customWidth="1"/>
    <x:col min="8" max="8" width="16" hidden="0" customWidth="1"/>
  </x:cols>
  <x:sheetData>
    <x:row r="1">
      <x:c r="A1" s="6" t="str">
        <x:v>BuildOS AI Delivery Workbook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3">
      <x:c r="A3" s="10" t="str">
        <x:v>Workbook Purpose</x:v>
      </x:c>
      <x:c r="B3" s="11" t="str">
        <x:v>Convert the end-to-end Mermaid loop into delivery-ready artefacts for product, project, BA and engineering teams.</x:v>
      </x:c>
      <x:c r="D3" s="16" t="str">
        <x:v>Delivery Health Cards</x:v>
      </x:c>
      <x:c r="E3" s="14" t="str"/>
      <x:c r="F3" s="14" t="str"/>
      <x:c r="G3" s="14" t="str"/>
      <x:c r="H3" s="14" t="str"/>
      <x:c r="J3" s="16" t="str">
        <x:v>Phase</x:v>
      </x:c>
      <x:c r="K3" s="16" t="str">
        <x:v>Estimated Cost £</x:v>
      </x:c>
    </x:row>
    <x:row r="4">
      <x:c r="A4" s="10" t="str">
        <x:v>Core USP</x:v>
      </x:c>
      <x:c r="B4" s="11" t="str">
        <x:v>Idea-to-code-to-documentation traceability with AI-generated evidence and stakeholder reporting.</x:v>
      </x:c>
      <x:c r="D4" s="16" t="str">
        <x:v>Area</x:v>
      </x:c>
      <x:c r="E4" s="16" t="str">
        <x:v>Metric</x:v>
      </x:c>
      <x:c r="F4" s="16" t="str">
        <x:v>Target</x:v>
      </x:c>
      <x:c r="G4" s="16" t="str">
        <x:v>Owner</x:v>
      </x:c>
      <x:c r="H4" s="16" t="str">
        <x:v>Cadence</x:v>
      </x:c>
      <x:c r="J4" t="str">
        <x:v>MVP 1</x:v>
      </x:c>
      <x:c r="K4" s="31" t="n">
        <x:v>77280</x:v>
      </x:c>
    </x:row>
    <x:row r="5">
      <x:c r="A5" s="10" t="str">
        <x:v>Primary Users</x:v>
      </x:c>
      <x:c r="B5" s="11" t="str">
        <x:v>Founders, Product Managers, Project Managers, Business Analysts, Engineers, QA and Sponsors.</x:v>
      </x:c>
      <x:c r="D5" t="str">
        <x:v>Product</x:v>
      </x:c>
      <x:c r="E5" t="str">
        <x:v>Validated problem statements</x:v>
      </x:c>
      <x:c r="F5" t="str">
        <x:v>90%+</x:v>
      </x:c>
      <x:c r="G5" t="str">
        <x:v>Product Manager</x:v>
      </x:c>
      <x:c r="H5" t="str">
        <x:v>Weekly</x:v>
      </x:c>
      <x:c r="J5" t="str">
        <x:v>MVP 2</x:v>
      </x:c>
      <x:c r="K5" s="31" t="n">
        <x:v>89280</x:v>
      </x:c>
    </x:row>
    <x:row r="6">
      <x:c r="A6" s="10" t="str">
        <x:v>Delivery Method</x:v>
      </x:c>
      <x:c r="B6" s="11" t="str">
        <x:v>Agile discovery + staged MVP delivery + traceability validation.</x:v>
      </x:c>
      <x:c r="D6" t="str">
        <x:v>BA</x:v>
      </x:c>
      <x:c r="E6" t="str">
        <x:v>Stories passing INVEST</x:v>
      </x:c>
      <x:c r="F6" t="str">
        <x:v>85%+</x:v>
      </x:c>
      <x:c r="G6" t="str">
        <x:v>Business Analyst</x:v>
      </x:c>
      <x:c r="H6" t="str">
        <x:v>Sprint</x:v>
      </x:c>
      <x:c r="J6" t="str">
        <x:v>MVP 3</x:v>
      </x:c>
      <x:c r="K6" s="31" t="n">
        <x:v>121200</x:v>
      </x:c>
    </x:row>
    <x:row r="7">
      <x:c r="A7" s="10" t="str">
        <x:v>Total Loop Steps</x:v>
      </x:c>
      <x:c r="B7" s="11" t="n">
        <x:f>COUNTA('01 Step Blueprint'!A4:A100)</x:f>
        <x:v>21</x:v>
      </x:c>
      <x:c r="D7" t="str">
        <x:v>Engineering</x:v>
      </x:c>
      <x:c r="E7" t="str">
        <x:v>Stories linked to commits</x:v>
      </x:c>
      <x:c r="F7" t="str">
        <x:v>95%+</x:v>
      </x:c>
      <x:c r="G7" t="str">
        <x:v>Engineering Lead</x:v>
      </x:c>
      <x:c r="H7" t="str">
        <x:v>Daily</x:v>
      </x:c>
      <x:c r="J7" t="str">
        <x:v>MVP 4</x:v>
      </x:c>
      <x:c r="K7" s="31" t="n">
        <x:v>105600</x:v>
      </x:c>
    </x:row>
    <x:row r="8">
      <x:c r="A8" s="10" t="str">
        <x:v>Total Epics</x:v>
      </x:c>
      <x:c r="B8" s="11" t="n">
        <x:f>COUNTA('02 Epics'!A4:A100)</x:f>
        <x:v>18</x:v>
      </x:c>
      <x:c r="D8" t="str">
        <x:v>QA</x:v>
      </x:c>
      <x:c r="E8" t="str">
        <x:v>Acceptance criteria test coverage</x:v>
      </x:c>
      <x:c r="F8" t="str">
        <x:v>90%+</x:v>
      </x:c>
      <x:c r="G8" t="str">
        <x:v>QA Lead</x:v>
      </x:c>
      <x:c r="H8" t="str">
        <x:v>Sprint</x:v>
      </x:c>
      <x:c r="J8" t="str">
        <x:v>Scale</x:v>
      </x:c>
      <x:c r="K8" s="31" t="n">
        <x:v>60000</x:v>
      </x:c>
    </x:row>
    <x:row r="9">
      <x:c r="A9" s="10" t="str">
        <x:v>Total User Stories</x:v>
      </x:c>
      <x:c r="B9" s="11" t="n">
        <x:f>COUNTA('03 User Stories'!A4:A300)</x:f>
        <x:v>55</x:v>
      </x:c>
      <x:c r="D9" t="str">
        <x:v>PMO</x:v>
      </x:c>
      <x:c r="E9" t="str">
        <x:v>Delivery confidence</x:v>
      </x:c>
      <x:c r="F9" t="str">
        <x:v>Green/Amber</x:v>
      </x:c>
      <x:c r="G9" t="str">
        <x:v>Project Manager</x:v>
      </x:c>
      <x:c r="H9" t="str">
        <x:v>Weekly</x:v>
      </x:c>
    </x:row>
    <x:row r="10">
      <x:c r="A10" s="10" t="str">
        <x:v>Total Risks</x:v>
      </x:c>
      <x:c r="B10" s="11" t="n">
        <x:f>COUNTA('08 Risks RAID'!A4:A200)</x:f>
        <x:v>12</x:v>
      </x:c>
    </x:row>
    <x:row r="11">
      <x:c r="A11" s="10" t="str">
        <x:v>Total Dependencies</x:v>
      </x:c>
      <x:c r="B11" s="11" t="n">
        <x:f>COUNTA('07 Dependencies'!A4:A200)</x:f>
        <x:v>10</x:v>
      </x:c>
    </x:row>
    <x:row r="12">
      <x:c r="A12" s="10" t="str">
        <x:v>Planned MVP Cost</x:v>
      </x:c>
      <x:c r="B12" s="38" t="n">
        <x:f>SUM('09 Cost Resource Plan'!H4:H200)</x:f>
        <x:v>318960</x:v>
      </x:c>
    </x:row>
  </x:sheetData>
  <x:pageMargins left="0.7" right="0.7" top="0.75" bottom="0.75" header="0.3" footer="0.3"/>
  <x:drawing xmlns:r="http://schemas.openxmlformats.org/officeDocument/2006/relationships" r:id="Rc0577ae71b0e4b95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6" hidden="0" customWidth="1"/>
    <x:col min="4" max="4" width="40" hidden="0" customWidth="1"/>
    <x:col min="5" max="5" width="24" hidden="0" customWidth="1"/>
    <x:col min="6" max="6" width="35" hidden="0" customWidth="1"/>
    <x:col min="7" max="7" width="42" hidden="0" customWidth="1"/>
    <x:col min="8" max="8" width="38" hidden="0" customWidth="1"/>
    <x:col min="9" max="9" width="34" hidden="0" customWidth="1"/>
  </x:cols>
  <x:sheetData>
    <x:row r="1" ht="28" customHeight="1">
      <x:c r="A1" s="20" t="str">
        <x:v>Detailed Build Blueprint for Every Step in the Loop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</x:row>
    <x:row r="3" ht="34" customHeight="1">
      <x:c r="A3" s="26" t="str">
        <x:v>Step ID</x:v>
      </x:c>
      <x:c r="B3" s="26" t="str">
        <x:v>Step</x:v>
      </x:c>
      <x:c r="C3" s="26" t="str">
        <x:v>Detailed Purpose</x:v>
      </x:c>
      <x:c r="D3" s="26" t="str">
        <x:v>Key Outputs</x:v>
      </x:c>
      <x:c r="E3" s="26" t="str">
        <x:v>Primary Owner</x:v>
      </x:c>
      <x:c r="F3" s="26" t="str">
        <x:v>Key Inputs</x:v>
      </x:c>
      <x:c r="G3" s="26" t="str">
        <x:v>AI / Automation</x:v>
      </x:c>
      <x:c r="H3" s="26" t="str">
        <x:v>Exit Criteria</x:v>
      </x:c>
      <x:c r="I3" s="26" t="str">
        <x:v>Core Metrics</x:v>
      </x:c>
    </x:row>
    <x:row r="4">
      <x:c r="A4" s="28" t="str">
        <x:v>S01</x:v>
      </x:c>
      <x:c r="B4" s="28" t="str">
        <x:v>Raw Idea / Business Problem</x:v>
      </x:c>
      <x:c r="C4" s="28" t="str">
        <x:v>Capture messy idea, unmet need, market trigger and expected business value.</x:v>
      </x:c>
      <x:c r="D4" s="28" t="str">
        <x:v>Idea brief, early assumptions, opportunity hypothesis</x:v>
      </x:c>
      <x:c r="E4" s="28" t="str">
        <x:v>Founder / Product Manager</x:v>
      </x:c>
      <x:c r="F4" s="28" t="str">
        <x:v>Raw notes, customer pain, market signal</x:v>
      </x:c>
      <x:c r="G4" s="28" t="str">
        <x:v>AI idea intake, assumption extraction, problem framing</x:v>
      </x:c>
      <x:c r="H4" s="28" t="str">
        <x:v>Problem/opportunity is clear enough to evaluate</x:v>
      </x:c>
      <x:c r="I4" s="28" t="str">
        <x:v>% ideas with clear problem statement; idea-to-brief cycle time</x:v>
      </x:c>
    </x:row>
    <x:row r="5">
      <x:c r="A5" s="28" t="str">
        <x:v>S02</x:v>
      </x:c>
      <x:c r="B5" s="28" t="str">
        <x:v>AI Brainstorming Engine</x:v>
      </x:c>
      <x:c r="C5" s="28" t="str">
        <x:v>Expand idea into solution options, personas, value propositions, risks and alternatives.</x:v>
      </x:c>
      <x:c r="D5" s="28" t="str">
        <x:v>Structured brainstorming pack, options, decision log</x:v>
      </x:c>
      <x:c r="E5" s="28" t="str">
        <x:v>Product Manager</x:v>
      </x:c>
      <x:c r="F5" s="28" t="str">
        <x:v>Idea brief</x:v>
      </x:c>
      <x:c r="G5" s="28" t="str">
        <x:v>Multi-agent ideation, SWOT, personas, competitor scan</x:v>
      </x:c>
      <x:c r="H5" s="28" t="str">
        <x:v>Top concept selected with rationale</x:v>
      </x:c>
      <x:c r="I5" s="28" t="str">
        <x:v>Options generated; decision confidence; stakeholder alignment</x:v>
      </x:c>
    </x:row>
    <x:row r="6">
      <x:c r="A6" s="28" t="str">
        <x:v>S03</x:v>
      </x:c>
      <x:c r="B6" s="28" t="str">
        <x:v>Problem, Users, Goals, USP</x:v>
      </x:c>
      <x:c r="C6" s="28" t="str">
        <x:v>Convert brainstorming into clear problem, target users, measurable goals and differentiation.</x:v>
      </x:c>
      <x:c r="D6" s="28" t="str">
        <x:v>Problem statement, personas, goals, USP, success metrics</x:v>
      </x:c>
      <x:c r="E6" s="28" t="str">
        <x:v>Product Manager + BA</x:v>
      </x:c>
      <x:c r="F6" s="28" t="str">
        <x:v>Brainstorming pack</x:v>
      </x:c>
      <x:c r="G6" s="28" t="str">
        <x:v>Persona synthesis, value proposition canvas, goal generation</x:v>
      </x:c>
      <x:c r="H6" s="28" t="str">
        <x:v>Problem, user and goal are approved</x:v>
      </x:c>
      <x:c r="I6" s="28" t="str">
        <x:v>Persona completeness; goal quality; USP clarity score</x:v>
      </x:c>
    </x:row>
    <x:row r="7">
      <x:c r="A7" s="28" t="str">
        <x:v>S04</x:v>
      </x:c>
      <x:c r="B7" s="28" t="str">
        <x:v>Product Strategy</x:v>
      </x:c>
      <x:c r="C7" s="28" t="str">
        <x:v>Define product vision, roadmap, market position, business model and MVP scope.</x:v>
      </x:c>
      <x:c r="D7" s="28" t="str">
        <x:v>Product strategy, roadmap, prioritisation model</x:v>
      </x:c>
      <x:c r="E7" s="28" t="str">
        <x:v>Product Manager</x:v>
      </x:c>
      <x:c r="F7" s="28" t="str">
        <x:v>Problem/USP/goals</x:v>
      </x:c>
      <x:c r="G7" s="28" t="str">
        <x:v>RICE/MoSCoW scoring, roadmap drafting, trade-off analysis</x:v>
      </x:c>
      <x:c r="H7" s="28" t="str">
        <x:v>MVP scope and roadmap approved</x:v>
      </x:c>
      <x:c r="I7" s="28" t="str">
        <x:v>Prioritisation coverage; roadmap confidence; scope stability</x:v>
      </x:c>
    </x:row>
    <x:row r="8">
      <x:c r="A8" s="28" t="str">
        <x:v>S05</x:v>
      </x:c>
      <x:c r="B8" s="28" t="str">
        <x:v>PRD / BRD / FRD</x:v>
      </x:c>
      <x:c r="C8" s="28" t="str">
        <x:v>Create detailed product, business and functional requirements with NFRs.</x:v>
      </x:c>
      <x:c r="D8" s="28" t="str">
        <x:v>PRD, BRD, FRD, NFR register</x:v>
      </x:c>
      <x:c r="E8" s="28" t="str">
        <x:v>Product Manager + BA</x:v>
      </x:c>
      <x:c r="F8" s="28" t="str">
        <x:v>Product strategy</x:v>
      </x:c>
      <x:c r="G8" s="28" t="str">
        <x:v>Requirements generation, quality checks, gap detection</x:v>
      </x:c>
      <x:c r="H8" s="28" t="str">
        <x:v>Requirements ready for story breakdown</x:v>
      </x:c>
      <x:c r="I8" s="28" t="str">
        <x:v>Requirement quality score; NFR coverage; review defects</x:v>
      </x:c>
    </x:row>
    <x:row r="9">
      <x:c r="A9" s="28" t="str">
        <x:v>S06</x:v>
      </x:c>
      <x:c r="B9" s="28" t="str">
        <x:v>Epics + User Stories</x:v>
      </x:c>
      <x:c r="C9" s="28" t="str">
        <x:v>Break requirements into epics and INVEST-quality user stories.</x:v>
      </x:c>
      <x:c r="D9" s="28" t="str">
        <x:v>Epic backlog, user stories, story map</x:v>
      </x:c>
      <x:c r="E9" s="28" t="str">
        <x:v>BA + Product Manager</x:v>
      </x:c>
      <x:c r="F9" s="28" t="str">
        <x:v>PRD/BRD/FRD</x:v>
      </x:c>
      <x:c r="G9" s="28" t="str">
        <x:v>Epic/story generation, INVEST validation</x:v>
      </x:c>
      <x:c r="H9" s="28" t="str">
        <x:v>Stories are estimable and prioritised</x:v>
      </x:c>
      <x:c r="I9" s="28" t="str">
        <x:v>Stories passing INVEST; backlog readiness; story cycle time</x:v>
      </x:c>
    </x:row>
    <x:row r="10">
      <x:c r="A10" s="28" t="str">
        <x:v>S07</x:v>
      </x:c>
      <x:c r="B10" s="28" t="str">
        <x:v>Acceptance Criteria</x:v>
      </x:c>
      <x:c r="C10" s="28" t="str">
        <x:v>Define testable conditions for every story, including functional and non-functional criteria.</x:v>
      </x:c>
      <x:c r="D10" s="28" t="str">
        <x:v>Acceptance criteria, test scenarios, definition of done</x:v>
      </x:c>
      <x:c r="E10" s="28" t="str">
        <x:v>BA + QA</x:v>
      </x:c>
      <x:c r="F10" s="28" t="str">
        <x:v>User stories</x:v>
      </x:c>
      <x:c r="G10" s="28" t="str">
        <x:v>Given/When/Then generation, edge-case discovery</x:v>
      </x:c>
      <x:c r="H10" s="28" t="str">
        <x:v>Acceptance criteria approved by Product/QA/Engineering</x:v>
      </x:c>
      <x:c r="I10" s="28" t="str">
        <x:v>AC coverage; testability score; ambiguity count</x:v>
      </x:c>
    </x:row>
    <x:row r="11">
      <x:c r="A11" s="28" t="str">
        <x:v>S08</x:v>
      </x:c>
      <x:c r="B11" s="28" t="str">
        <x:v>Jira / Linear Backlog</x:v>
      </x:c>
      <x:c r="C11" s="28" t="str">
        <x:v>Push epics, stories, criteria, priorities and dependencies into delivery tool.</x:v>
      </x:c>
      <x:c r="D11" s="28" t="str">
        <x:v>Backlog, sprint candidates, labels, components</x:v>
      </x:c>
      <x:c r="E11" s="28" t="str">
        <x:v>Project Manager / Scrum Master</x:v>
      </x:c>
      <x:c r="F11" s="28" t="str">
        <x:v>Stories and AC</x:v>
      </x:c>
      <x:c r="G11" s="28" t="str">
        <x:v>Backlog sync, labels, dependency mapping</x:v>
      </x:c>
      <x:c r="H11" s="28" t="str">
        <x:v>Backlog ready for sprint planning</x:v>
      </x:c>
      <x:c r="I11" s="28" t="str">
        <x:v>Backlog sync success; prioritised stories; blocked items</x:v>
      </x:c>
    </x:row>
    <x:row r="12">
      <x:c r="A12" s="28" t="str">
        <x:v>S09</x:v>
      </x:c>
      <x:c r="B12" s="28" t="str">
        <x:v>Developer IDE / GitHub Tasks</x:v>
      </x:c>
      <x:c r="C12" s="28" t="str">
        <x:v>Push stories into engineering workflow and link branches, commits and pull requests.</x:v>
      </x:c>
      <x:c r="D12" s="28" t="str">
        <x:v>IDE tasks, branches, PR templates, technical tasks</x:v>
      </x:c>
      <x:c r="E12" s="28" t="str">
        <x:v>Engineering Lead</x:v>
      </x:c>
      <x:c r="F12" s="28" t="str">
        <x:v>Backlog items</x:v>
      </x:c>
      <x:c r="G12" s="28" t="str">
        <x:v>Task creation, branch naming, coding context prompts</x:v>
      </x:c>
      <x:c r="H12" s="28" t="str">
        <x:v>Developers have clear build instructions</x:v>
      </x:c>
      <x:c r="I12" s="28" t="str">
        <x:v>Stories linked to branches; PR linkage rate; developer clarity score</x:v>
      </x:c>
    </x:row>
    <x:row r="13">
      <x:c r="A13" s="28" t="str">
        <x:v>S10</x:v>
      </x:c>
      <x:c r="B13" s="28" t="str">
        <x:v>Code Built</x:v>
      </x:c>
      <x:c r="C13" s="28" t="str">
        <x:v>Implement features and link commits to stories and acceptance criteria.</x:v>
      </x:c>
      <x:c r="D13" s="28" t="str">
        <x:v>Working code, commits, PRs, technical notes</x:v>
      </x:c>
      <x:c r="E13" s="28" t="str">
        <x:v>Engineering Team</x:v>
      </x:c>
      <x:c r="F13" s="28" t="str">
        <x:v>IDE tasks, architecture</x:v>
      </x:c>
      <x:c r="G13" s="28" t="str">
        <x:v>AI coding assistance, code review prompts, test stubs</x:v>
      </x:c>
      <x:c r="H13" s="28" t="str">
        <x:v>Code is merged or ready for QA</x:v>
      </x:c>
      <x:c r="I13" s="28" t="str">
        <x:v>Cycle time; PR throughput; escaped defects</x:v>
      </x:c>
    </x:row>
    <x:row r="14">
      <x:c r="A14" s="28" t="str">
        <x:v>S11</x:v>
      </x:c>
      <x:c r="B14" s="28" t="str">
        <x:v>Tests + Code Validation</x:v>
      </x:c>
      <x:c r="C14" s="28" t="str">
        <x:v>Validate code against acceptance criteria, tests, security and architecture expectations.</x:v>
      </x:c>
      <x:c r="D14" s="28" t="str">
        <x:v>Test results, validation report, coverage evidence</x:v>
      </x:c>
      <x:c r="E14" s="28" t="str">
        <x:v>QA + Engineering Lead</x:v>
      </x:c>
      <x:c r="F14" s="28" t="str">
        <x:v>Code, AC, test cases</x:v>
      </x:c>
      <x:c r="G14" s="28" t="str">
        <x:v>Test generation, code-to-story comparison, coverage analysis</x:v>
      </x:c>
      <x:c r="H14" s="28" t="str">
        <x:v>Feature passes validation or gap is raised</x:v>
      </x:c>
      <x:c r="I14" s="28" t="str">
        <x:v>Pass rate; coverage; validation gaps; defect density</x:v>
      </x:c>
    </x:row>
    <x:row r="15">
      <x:c r="A15" s="28" t="str">
        <x:v>S12</x:v>
      </x:c>
      <x:c r="B15" s="28" t="str">
        <x:v>Does Code Match Requirements?</x:v>
      </x:c>
      <x:c r="C15" s="28" t="str">
        <x:v>Decision gate comparing built output against planned requirements and business value.</x:v>
      </x:c>
      <x:c r="D15" s="28" t="str">
        <x:v>Pass/fail decision, gaps, change requests</x:v>
      </x:c>
      <x:c r="E15" s="28" t="str">
        <x:v>Product Manager + QA + Engineering Lead</x:v>
      </x:c>
      <x:c r="F15" s="28" t="str">
        <x:v>Validation report</x:v>
      </x:c>
      <x:c r="G15" s="28" t="str">
        <x:v>Traceability comparison, requirement-drift detection</x:v>
      </x:c>
      <x:c r="H15" s="28" t="str">
        <x:v>Approved for documentation or returned to backlog</x:v>
      </x:c>
      <x:c r="I15" s="28" t="str">
        <x:v>Requirement match rate; gap count; rework rate</x:v>
      </x:c>
    </x:row>
    <x:row r="16">
      <x:c r="A16" s="28" t="str">
        <x:v>S13</x:v>
      </x:c>
      <x:c r="B16" s="28" t="str">
        <x:v>Update Confluence Documentation</x:v>
      </x:c>
      <x:c r="C16" s="28" t="str">
        <x:v>Automatically update PRD, release notes, design decisions and implementation evidence.</x:v>
      </x:c>
      <x:c r="D16" s="28" t="str">
        <x:v>Updated Confluence pages, change log, release notes</x:v>
      </x:c>
      <x:c r="E16" s="28" t="str">
        <x:v>Documentation Agent + PM</x:v>
      </x:c>
      <x:c r="F16" s="28" t="str">
        <x:v>Approved validation</x:v>
      </x:c>
      <x:c r="G16" s="28" t="str">
        <x:v>Doc generation, versioning, evidence attachment</x:v>
      </x:c>
      <x:c r="H16" s="28" t="str">
        <x:v>Documentation reflects actual built state</x:v>
      </x:c>
      <x:c r="I16" s="28" t="str">
        <x:v>Doc freshness; missing evidence; update latency</x:v>
      </x:c>
    </x:row>
    <x:row r="17">
      <x:c r="A17" s="28" t="str">
        <x:v>S14</x:v>
      </x:c>
      <x:c r="B17" s="28" t="str">
        <x:v>Update Mermaid Diagrams</x:v>
      </x:c>
      <x:c r="C17" s="28" t="str">
        <x:v>Refresh workflow, architecture, data flow and traceability diagrams based on what was built.</x:v>
      </x:c>
      <x:c r="D17" s="28" t="str">
        <x:v>Current Mermaid diagrams, architecture map</x:v>
      </x:c>
      <x:c r="E17" s="28" t="str">
        <x:v>Solution Architect + Documentation Agent</x:v>
      </x:c>
      <x:c r="F17" s="28" t="str">
        <x:v>Code changes, docs, architecture</x:v>
      </x:c>
      <x:c r="G17" s="28" t="str">
        <x:v>Diagram generation, diffing, architecture validation</x:v>
      </x:c>
      <x:c r="H17" s="28" t="str">
        <x:v>Diagrams match system state</x:v>
      </x:c>
      <x:c r="I17" s="28" t="str">
        <x:v>Diagram freshness; architecture drift; diagram coverage</x:v>
      </x:c>
    </x:row>
    <x:row r="18">
      <x:c r="A18" s="28" t="str">
        <x:v>S15</x:v>
      </x:c>
      <x:c r="B18" s="28" t="str">
        <x:v>Update Progress Dashboards</x:v>
      </x:c>
      <x:c r="C18" s="28" t="str">
        <x:v>Update delivery health, metrics, budget, risk, progress and confidence dashboards.</x:v>
      </x:c>
      <x:c r="D18" s="28" t="str">
        <x:v>Product, project, engineering and exec dashboards</x:v>
      </x:c>
      <x:c r="E18" s="28" t="str">
        <x:v>Project Manager</x:v>
      </x:c>
      <x:c r="F18" s="28" t="str">
        <x:v>Backlog, tests, docs, costs</x:v>
      </x:c>
      <x:c r="G18" s="28" t="str">
        <x:v>Metric aggregation, risk scoring, forecast calculation</x:v>
      </x:c>
      <x:c r="H18" s="28" t="str">
        <x:v>Dashboard reflects latest status</x:v>
      </x:c>
      <x:c r="I18" s="28" t="str">
        <x:v>Dashboard freshness; delivery confidence; metric completeness</x:v>
      </x:c>
    </x:row>
    <x:row r="19">
      <x:c r="A19" s="28" t="str">
        <x:v>S16</x:v>
      </x:c>
      <x:c r="B19" s="28" t="str">
        <x:v>Progress Reports</x:v>
      </x:c>
      <x:c r="C19" s="28" t="str">
        <x:v>Create daily, weekly, monthly and quarterly progress cards tailored to stakeholders.</x:v>
      </x:c>
      <x:c r="D19" s="28" t="str">
        <x:v>Progress cards, executive updates, team reports</x:v>
      </x:c>
      <x:c r="E19" s="28" t="str">
        <x:v>Project Manager + Reporting Agent</x:v>
      </x:c>
      <x:c r="F19" s="28" t="str">
        <x:v>Dashboards, meeting notes</x:v>
      </x:c>
      <x:c r="G19" s="28" t="str">
        <x:v>Narrative generation, KPI summaries, blocker extraction</x:v>
      </x:c>
      <x:c r="H19" s="28" t="str">
        <x:v>Stakeholders receive clear status and decisions needed</x:v>
      </x:c>
      <x:c r="I19" s="28" t="str">
        <x:v>Report timeliness; decision clarity; stakeholder satisfaction</x:v>
      </x:c>
    </x:row>
    <x:row r="20">
      <x:c r="A20" s="28" t="str">
        <x:v>S17</x:v>
      </x:c>
      <x:c r="B20" s="28" t="str">
        <x:v>Stakeholder Review</x:v>
      </x:c>
      <x:c r="C20" s="28" t="str">
        <x:v>Review delivery outcomes, risks, scope changes and new priorities with stakeholders.</x:v>
      </x:c>
      <x:c r="D20" s="28" t="str">
        <x:v>Decisions, approvals, feedback, change requests</x:v>
      </x:c>
      <x:c r="E20" s="28" t="str">
        <x:v>Product Manager + Sponsor</x:v>
      </x:c>
      <x:c r="F20" s="28" t="str">
        <x:v>Reports, roadmap, metrics</x:v>
      </x:c>
      <x:c r="G20" s="28" t="str">
        <x:v>Meeting summary, decision extraction, feedback classification</x:v>
      </x:c>
      <x:c r="H20" s="28" t="str">
        <x:v>Feedback converted into actions or approved release</x:v>
      </x:c>
      <x:c r="I20" s="28" t="str">
        <x:v>Decision turnaround; unresolved feedback; approval rate</x:v>
      </x:c>
    </x:row>
    <x:row r="21">
      <x:c r="A21" s="28" t="str">
        <x:v>S18</x:v>
      </x:c>
      <x:c r="B21" s="28" t="str">
        <x:v>Release / Deployment</x:v>
      </x:c>
      <x:c r="C21" s="28" t="str">
        <x:v>Deploy approved features, monitor adoption and communicate release value.</x:v>
      </x:c>
      <x:c r="D21" s="28" t="str">
        <x:v>Release package, deployment notes, user communication</x:v>
      </x:c>
      <x:c r="E21" s="28" t="str">
        <x:v>Engineering Lead + PM</x:v>
      </x:c>
      <x:c r="F21" s="28" t="str">
        <x:v>Approved stories, release criteria</x:v>
      </x:c>
      <x:c r="G21" s="28" t="str">
        <x:v>Release checklist, rollback plan, change communication</x:v>
      </x:c>
      <x:c r="H21" s="28" t="str">
        <x:v>Release deployed safely</x:v>
      </x:c>
      <x:c r="I21" s="28" t="str">
        <x:v>Deployment success; rollback rate; release defects</x:v>
      </x:c>
    </x:row>
    <x:row r="22">
      <x:c r="A22" s="28" t="str">
        <x:v>S19</x:v>
      </x:c>
      <x:c r="B22" s="28" t="str">
        <x:v>User Feedback + Product Metrics</x:v>
      </x:c>
      <x:c r="C22" s="28" t="str">
        <x:v>Collect usage, feedback, support tickets and behavioural data to measure value.</x:v>
      </x:c>
      <x:c r="D22" s="28" t="str">
        <x:v>Insights, feedback themes, metric trends</x:v>
      </x:c>
      <x:c r="E22" s="28" t="str">
        <x:v>Product Manager + Data Analyst</x:v>
      </x:c>
      <x:c r="F22" s="28" t="str">
        <x:v>Released product</x:v>
      </x:c>
      <x:c r="G22" s="28" t="str">
        <x:v>Feedback clustering, analytics summaries, sentiment analysis</x:v>
      </x:c>
      <x:c r="H22" s="28" t="str">
        <x:v>Evidence informs roadmap decisions</x:v>
      </x:c>
      <x:c r="I22" s="28" t="str">
        <x:v>Activation; adoption; retention; NPS; feedback volume</x:v>
      </x:c>
    </x:row>
    <x:row r="23">
      <x:c r="A23" s="28" t="str">
        <x:v>S20</x:v>
      </x:c>
      <x:c r="B23" s="28" t="str">
        <x:v>New Problem / Risk / Opportunity</x:v>
      </x:c>
      <x:c r="C23" s="28" t="str">
        <x:v>Detect new opportunities, risks or unmet needs and feed them back into ideation.</x:v>
      </x:c>
      <x:c r="D23" s="28" t="str">
        <x:v>New opportunity backlog, risk triggers, roadmap input</x:v>
      </x:c>
      <x:c r="E23" s="28" t="str">
        <x:v>Product Manager + Risk Agent</x:v>
      </x:c>
      <x:c r="F23" s="28" t="str">
        <x:v>Metrics, feedback, incidents</x:v>
      </x:c>
      <x:c r="G23" s="28" t="str">
        <x:v>Anomaly detection, opportunity scoring, risk trend analysis</x:v>
      </x:c>
      <x:c r="H23" s="28" t="str">
        <x:v>New items triaged and prioritised</x:v>
      </x:c>
      <x:c r="I23" s="28" t="str">
        <x:v>Opportunity score; risk trend; time-to-triage</x:v>
      </x:c>
    </x:row>
    <x:row r="24">
      <x:c r="A24" s="28" t="str">
        <x:v>S21</x:v>
      </x:c>
      <x:c r="B24" s="28" t="str">
        <x:v>Continuous Monitoring</x:v>
      </x:c>
      <x:c r="C24" s="28" t="str">
        <x:v>Keep monitoring system health, delivery health, value and documentation accuracy.</x:v>
      </x:c>
      <x:c r="D24" s="28" t="str">
        <x:v>Monitoring dashboard, alerts, improvement backlog</x:v>
      </x:c>
      <x:c r="E24" s="28" t="str">
        <x:v>PMO / Product Ops</x:v>
      </x:c>
      <x:c r="F24" s="28" t="str">
        <x:v>All system signals</x:v>
      </x:c>
      <x:c r="G24" s="28" t="str">
        <x:v>Automated monitoring, health alerts, drift detection</x:v>
      </x:c>
      <x:c r="H24" s="28" t="str">
        <x:v>Improvement loop remains active</x:v>
      </x:c>
      <x:c r="I24" s="28" t="str">
        <x:v>Monitoring coverage; alert precision; improvement velocity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0" hidden="0" customWidth="1"/>
    <x:col min="4" max="4" width="18" hidden="0" customWidth="1"/>
    <x:col min="5" max="5" width="26" hidden="0" customWidth="1"/>
    <x:col min="6" max="6" width="14" hidden="0" customWidth="1"/>
    <x:col min="7" max="7" width="12" hidden="0" customWidth="1"/>
    <x:col min="8" max="8" width="22" hidden="0" customWidth="1"/>
    <x:col min="9" max="9" width="44" hidden="0" customWidth="1"/>
  </x:cols>
  <x:sheetData>
    <x:row r="1" ht="28" customHeight="1">
      <x:c r="A1" s="20" t="str">
        <x:v>Product Epics and Delivery Themes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</x:row>
    <x:row r="3" ht="34" customHeight="1">
      <x:c r="A3" s="26" t="str">
        <x:v>Epic ID</x:v>
      </x:c>
      <x:c r="B3" s="26" t="str">
        <x:v>Epic</x:v>
      </x:c>
      <x:c r="C3" s="26" t="str">
        <x:v>Description</x:v>
      </x:c>
      <x:c r="D3" s="26" t="str">
        <x:v>Mapped Steps</x:v>
      </x:c>
      <x:c r="E3" s="26" t="str">
        <x:v>Primary Owner</x:v>
      </x:c>
      <x:c r="F3" s="26" t="str">
        <x:v>MVP Phase</x:v>
      </x:c>
      <x:c r="G3" s="26" t="str">
        <x:v>Priority</x:v>
      </x:c>
      <x:c r="H3" s="26" t="str">
        <x:v>Module</x:v>
      </x:c>
      <x:c r="I3" s="26" t="str">
        <x:v>Business Value</x:v>
      </x:c>
    </x:row>
    <x:row r="4">
      <x:c r="A4" s="28" t="str">
        <x:v>E01</x:v>
      </x:c>
      <x:c r="B4" s="28" t="str">
        <x:v>Idea Intake &amp; Brainstorming</x:v>
      </x:c>
      <x:c r="C4" s="28" t="str">
        <x:v>Capture raw ideas, clarify problems and produce structured opportunity briefs.</x:v>
      </x:c>
      <x:c r="D4" s="28" t="str">
        <x:v>S01-S03</x:v>
      </x:c>
      <x:c r="E4" s="28" t="str">
        <x:v>Product Manager</x:v>
      </x:c>
      <x:c r="F4" s="28" t="str">
        <x:v>MVP 1</x:v>
      </x:c>
      <x:c r="G4" s="28" t="str">
        <x:v>High</x:v>
      </x:c>
      <x:c r="H4" s="28" t="str">
        <x:v>Ideation Workspace</x:v>
      </x:c>
      <x:c r="I4" s="28" t="str">
        <x:v>Raw idea becomes validated product opportunity.</x:v>
      </x:c>
    </x:row>
    <x:row r="5">
      <x:c r="A5" s="28" t="str">
        <x:v>E02</x:v>
      </x:c>
      <x:c r="B5" s="28" t="str">
        <x:v>Persona &amp; Problem Definition</x:v>
      </x:c>
      <x:c r="C5" s="28" t="str">
        <x:v>Define target users, pain points, jobs-to-be-done and value proposition.</x:v>
      </x:c>
      <x:c r="D5" s="28" t="str">
        <x:v>S03</x:v>
      </x:c>
      <x:c r="E5" s="28" t="str">
        <x:v>Product Manager + BA</x:v>
      </x:c>
      <x:c r="F5" s="28" t="str">
        <x:v>MVP 1</x:v>
      </x:c>
      <x:c r="G5" s="28" t="str">
        <x:v>High</x:v>
      </x:c>
      <x:c r="H5" s="28" t="str">
        <x:v>Discovery Workspace</x:v>
      </x:c>
      <x:c r="I5" s="28" t="str">
        <x:v>Every idea has a clear user and measurable problem.</x:v>
      </x:c>
    </x:row>
    <x:row r="6">
      <x:c r="A6" s="28" t="str">
        <x:v>E03</x:v>
      </x:c>
      <x:c r="B6" s="28" t="str">
        <x:v>Product Strategy Generator</x:v>
      </x:c>
      <x:c r="C6" s="28" t="str">
        <x:v>Generate product vision, roadmap, MVP scope, prioritisation and success metrics.</x:v>
      </x:c>
      <x:c r="D6" s="28" t="str">
        <x:v>S04</x:v>
      </x:c>
      <x:c r="E6" s="28" t="str">
        <x:v>Product Manager</x:v>
      </x:c>
      <x:c r="F6" s="28" t="str">
        <x:v>MVP 1</x:v>
      </x:c>
      <x:c r="G6" s="28" t="str">
        <x:v>High</x:v>
      </x:c>
      <x:c r="H6" s="28" t="str">
        <x:v>Strategy Workspace</x:v>
      </x:c>
      <x:c r="I6" s="28" t="str">
        <x:v>Teams move from idea to strategy faster.</x:v>
      </x:c>
    </x:row>
    <x:row r="7">
      <x:c r="A7" s="28" t="str">
        <x:v>E04</x:v>
      </x:c>
      <x:c r="B7" s="28" t="str">
        <x:v>PRD / BRD / FRD Generator</x:v>
      </x:c>
      <x:c r="C7" s="28" t="str">
        <x:v>Create comprehensive requirements documents for product, business and engineering alignment.</x:v>
      </x:c>
      <x:c r="D7" s="28" t="str">
        <x:v>S05</x:v>
      </x:c>
      <x:c r="E7" s="28" t="str">
        <x:v>BA + Product Manager</x:v>
      </x:c>
      <x:c r="F7" s="28" t="str">
        <x:v>MVP 1</x:v>
      </x:c>
      <x:c r="G7" s="28" t="str">
        <x:v>High</x:v>
      </x:c>
      <x:c r="H7" s="28" t="str">
        <x:v>Requirements Workspace</x:v>
      </x:c>
      <x:c r="I7" s="28" t="str">
        <x:v>Requirements become consistent and reusable.</x:v>
      </x:c>
    </x:row>
    <x:row r="8">
      <x:c r="A8" s="28" t="str">
        <x:v>E05</x:v>
      </x:c>
      <x:c r="B8" s="28" t="str">
        <x:v>Mermaid Workflow Generator</x:v>
      </x:c>
      <x:c r="C8" s="28" t="str">
        <x:v>Generate and update workflow, architecture, data flow and traceability diagrams.</x:v>
      </x:c>
      <x:c r="D8" s="28" t="str">
        <x:v>S04,S14</x:v>
      </x:c>
      <x:c r="E8" s="28" t="str">
        <x:v>Solution Architect</x:v>
      </x:c>
      <x:c r="F8" s="28" t="str">
        <x:v>MVP 1</x:v>
      </x:c>
      <x:c r="G8" s="28" t="str">
        <x:v>Medium</x:v>
      </x:c>
      <x:c r="H8" s="28" t="str">
        <x:v>Diagram Engine</x:v>
      </x:c>
      <x:c r="I8" s="28" t="str">
        <x:v>Every project has visual alignment.</x:v>
      </x:c>
    </x:row>
    <x:row r="9">
      <x:c r="A9" s="28" t="str">
        <x:v>E06</x:v>
      </x:c>
      <x:c r="B9" s="28" t="str">
        <x:v>Epic &amp; User Story Generator</x:v>
      </x:c>
      <x:c r="C9" s="28" t="str">
        <x:v>Break requirements into epics, user stories and INVEST-quality backlog items.</x:v>
      </x:c>
      <x:c r="D9" s="28" t="str">
        <x:v>S06</x:v>
      </x:c>
      <x:c r="E9" s="28" t="str">
        <x:v>BA</x:v>
      </x:c>
      <x:c r="F9" s="28" t="str">
        <x:v>MVP 2</x:v>
      </x:c>
      <x:c r="G9" s="28" t="str">
        <x:v>High</x:v>
      </x:c>
      <x:c r="H9" s="28" t="str">
        <x:v>Backlog Engine</x:v>
      </x:c>
      <x:c r="I9" s="28" t="str">
        <x:v>PM/BA can create delivery-ready backlog quickly.</x:v>
      </x:c>
    </x:row>
    <x:row r="10">
      <x:c r="A10" s="28" t="str">
        <x:v>E07</x:v>
      </x:c>
      <x:c r="B10" s="28" t="str">
        <x:v>Acceptance Criteria &amp; Test Scenario Generator</x:v>
      </x:c>
      <x:c r="C10" s="28" t="str">
        <x:v>Generate testable functional and non-functional acceptance criteria.</x:v>
      </x:c>
      <x:c r="D10" s="28" t="str">
        <x:v>S07</x:v>
      </x:c>
      <x:c r="E10" s="28" t="str">
        <x:v>BA + QA</x:v>
      </x:c>
      <x:c r="F10" s="28" t="str">
        <x:v>MVP 2</x:v>
      </x:c>
      <x:c r="G10" s="28" t="str">
        <x:v>High</x:v>
      </x:c>
      <x:c r="H10" s="28" t="str">
        <x:v>Quality Engine</x:v>
      </x:c>
      <x:c r="I10" s="28" t="str">
        <x:v>Every story has clear validation conditions.</x:v>
      </x:c>
    </x:row>
    <x:row r="11">
      <x:c r="A11" s="28" t="str">
        <x:v>E08</x:v>
      </x:c>
      <x:c r="B11" s="28" t="str">
        <x:v>Confluence Documentation Sync</x:v>
      </x:c>
      <x:c r="C11" s="28" t="str">
        <x:v>Push PRDs, strategy, decisions, release notes and validation evidence into Confluence.</x:v>
      </x:c>
      <x:c r="D11" s="28" t="str">
        <x:v>S08,S13</x:v>
      </x:c>
      <x:c r="E11" s="28" t="str">
        <x:v>Documentation Agent</x:v>
      </x:c>
      <x:c r="F11" s="28" t="str">
        <x:v>MVP 2</x:v>
      </x:c>
      <x:c r="G11" s="28" t="str">
        <x:v>High</x:v>
      </x:c>
      <x:c r="H11" s="28" t="str">
        <x:v>Integrations</x:v>
      </x:c>
      <x:c r="I11" s="28" t="str">
        <x:v>Documentation remains current.</x:v>
      </x:c>
    </x:row>
    <x:row r="12">
      <x:c r="A12" s="28" t="str">
        <x:v>E09</x:v>
      </x:c>
      <x:c r="B12" s="28" t="str">
        <x:v>Jira / Linear Backlog Sync</x:v>
      </x:c>
      <x:c r="C12" s="28" t="str">
        <x:v>Push and sync epics, stories, criteria, status, dependencies and priorities.</x:v>
      </x:c>
      <x:c r="D12" s="28" t="str">
        <x:v>S08</x:v>
      </x:c>
      <x:c r="E12" s="28" t="str">
        <x:v>Project Manager</x:v>
      </x:c>
      <x:c r="F12" s="28" t="str">
        <x:v>MVP 2</x:v>
      </x:c>
      <x:c r="G12" s="28" t="str">
        <x:v>High</x:v>
      </x:c>
      <x:c r="H12" s="28" t="str">
        <x:v>Integrations</x:v>
      </x:c>
      <x:c r="I12" s="28" t="str">
        <x:v>Backlog is always connected to requirements.</x:v>
      </x:c>
    </x:row>
    <x:row r="13">
      <x:c r="A13" s="28" t="str">
        <x:v>E10</x:v>
      </x:c>
      <x:c r="B13" s="28" t="str">
        <x:v>IDE / GitHub Delivery Sync</x:v>
      </x:c>
      <x:c r="C13" s="28" t="str">
        <x:v>Send story context to IDE, link branches/commits/PRs to user stories.</x:v>
      </x:c>
      <x:c r="D13" s="28" t="str">
        <x:v>S09-S10</x:v>
      </x:c>
      <x:c r="E13" s="28" t="str">
        <x:v>Engineering Lead</x:v>
      </x:c>
      <x:c r="F13" s="28" t="str">
        <x:v>MVP 3</x:v>
      </x:c>
      <x:c r="G13" s="28" t="str">
        <x:v>High</x:v>
      </x:c>
      <x:c r="H13" s="28" t="str">
        <x:v>Engineering Hub</x:v>
      </x:c>
      <x:c r="I13" s="28" t="str">
        <x:v>Engineering work is traceable to business need.</x:v>
      </x:c>
    </x:row>
    <x:row r="14">
      <x:c r="A14" s="28" t="str">
        <x:v>E11</x:v>
      </x:c>
      <x:c r="B14" s="28" t="str">
        <x:v>Code-to-Requirement Validation</x:v>
      </x:c>
      <x:c r="C14" s="28" t="str">
        <x:v>Compare code, tests and implementation evidence against acceptance criteria.</x:v>
      </x:c>
      <x:c r="D14" s="28" t="str">
        <x:v>S11-S12</x:v>
      </x:c>
      <x:c r="E14" s="28" t="str">
        <x:v>QA + Engineering Lead</x:v>
      </x:c>
      <x:c r="F14" s="28" t="str">
        <x:v>MVP 3</x:v>
      </x:c>
      <x:c r="G14" s="28" t="str">
        <x:v>Critical</x:v>
      </x:c>
      <x:c r="H14" s="28" t="str">
        <x:v>Validation Engine</x:v>
      </x:c>
      <x:c r="I14" s="28" t="str">
        <x:v>Built work is validated against planned work.</x:v>
      </x:c>
    </x:row>
    <x:row r="15">
      <x:c r="A15" s="28" t="str">
        <x:v>E12</x:v>
      </x:c>
      <x:c r="B15" s="28" t="str">
        <x:v>Dynamic Traceability Matrix</x:v>
      </x:c>
      <x:c r="C15" s="28" t="str">
        <x:v>Maintain live links between ideas, requirements, stories, code, tests, docs and reports.</x:v>
      </x:c>
      <x:c r="D15" s="28" t="str">
        <x:v>S01-S21</x:v>
      </x:c>
      <x:c r="E15" s="28" t="str">
        <x:v>Product Ops</x:v>
      </x:c>
      <x:c r="F15" s="28" t="str">
        <x:v>MVP 3</x:v>
      </x:c>
      <x:c r="G15" s="28" t="str">
        <x:v>Critical</x:v>
      </x:c>
      <x:c r="H15" s="28" t="str">
        <x:v>Traceability Hub</x:v>
      </x:c>
      <x:c r="I15" s="28" t="str">
        <x:v>No work is orphaned or undocumented.</x:v>
      </x:c>
    </x:row>
    <x:row r="16">
      <x:c r="A16" s="28" t="str">
        <x:v>E13</x:v>
      </x:c>
      <x:c r="B16" s="28" t="str">
        <x:v>Meeting Notes Intelligence</x:v>
      </x:c>
      <x:c r="C16" s="28" t="str">
        <x:v>Capture daily/weekly notes, extract decisions, blockers, risks and story updates.</x:v>
      </x:c>
      <x:c r="D16" s="28" t="str">
        <x:v>S16-S17</x:v>
      </x:c>
      <x:c r="E16" s="28" t="str">
        <x:v>Project Manager</x:v>
      </x:c>
      <x:c r="F16" s="28" t="str">
        <x:v>MVP 3</x:v>
      </x:c>
      <x:c r="G16" s="28" t="str">
        <x:v>Medium</x:v>
      </x:c>
      <x:c r="H16" s="28" t="str">
        <x:v>Meeting Intelligence</x:v>
      </x:c>
      <x:c r="I16" s="28" t="str">
        <x:v>Meetings become structured delivery signals.</x:v>
      </x:c>
    </x:row>
    <x:row r="17">
      <x:c r="A17" s="28" t="str">
        <x:v>E14</x:v>
      </x:c>
      <x:c r="B17" s="28" t="str">
        <x:v>Progress Cards &amp; Executive Reporting</x:v>
      </x:c>
      <x:c r="C17" s="28" t="str">
        <x:v>Create daily, weekly, monthly and quarterly progress cards.</x:v>
      </x:c>
      <x:c r="D17" s="28" t="str">
        <x:v>S15-S16</x:v>
      </x:c>
      <x:c r="E17" s="28" t="str">
        <x:v>Project Manager</x:v>
      </x:c>
      <x:c r="F17" s="28" t="str">
        <x:v>MVP 3</x:v>
      </x:c>
      <x:c r="G17" s="28" t="str">
        <x:v>High</x:v>
      </x:c>
      <x:c r="H17" s="28" t="str">
        <x:v>Reporting Hub</x:v>
      </x:c>
      <x:c r="I17" s="28" t="str">
        <x:v>Stakeholders see status and decisions needed.</x:v>
      </x:c>
    </x:row>
    <x:row r="18">
      <x:c r="A18" s="28" t="str">
        <x:v>E15</x:v>
      </x:c>
      <x:c r="B18" s="28" t="str">
        <x:v>Risk, Dependency &amp; Cost Intelligence</x:v>
      </x:c>
      <x:c r="C18" s="28" t="str">
        <x:v>Track RAID, resource capacity, budget forecasts and delivery confidence.</x:v>
      </x:c>
      <x:c r="D18" s="28" t="str">
        <x:v>S15-S21</x:v>
      </x:c>
      <x:c r="E18" s="28" t="str">
        <x:v>Project Manager</x:v>
      </x:c>
      <x:c r="F18" s="28" t="str">
        <x:v>MVP 3</x:v>
      </x:c>
      <x:c r="G18" s="28" t="str">
        <x:v>High</x:v>
      </x:c>
      <x:c r="H18" s="28" t="str">
        <x:v>PMO Hub</x:v>
      </x:c>
      <x:c r="I18" s="28" t="str">
        <x:v>Teams can predict and act on delivery risks.</x:v>
      </x:c>
    </x:row>
    <x:row r="19">
      <x:c r="A19" s="28" t="str">
        <x:v>E16</x:v>
      </x:c>
      <x:c r="B19" s="28" t="str">
        <x:v>Feedback &amp; Product Metrics Loop</x:v>
      </x:c>
      <x:c r="C19" s="28" t="str">
        <x:v>Collect usage, support and stakeholder feedback and convert it into roadmap input.</x:v>
      </x:c>
      <x:c r="D19" s="28" t="str">
        <x:v>S19-S20</x:v>
      </x:c>
      <x:c r="E19" s="28" t="str">
        <x:v>Product Manager</x:v>
      </x:c>
      <x:c r="F19" s="28" t="str">
        <x:v>MVP 4</x:v>
      </x:c>
      <x:c r="G19" s="28" t="str">
        <x:v>Medium</x:v>
      </x:c>
      <x:c r="H19" s="28" t="str">
        <x:v>Insights Hub</x:v>
      </x:c>
      <x:c r="I19" s="28" t="str">
        <x:v>Released work feeds product learning.</x:v>
      </x:c>
    </x:row>
    <x:row r="20">
      <x:c r="A20" s="28" t="str">
        <x:v>E17</x:v>
      </x:c>
      <x:c r="B20" s="28" t="str">
        <x:v>Governance &amp; Approval Workflow</x:v>
      </x:c>
      <x:c r="C20" s="28" t="str">
        <x:v>Control approvals, change requests, audit trail and sign-offs.</x:v>
      </x:c>
      <x:c r="D20" s="28" t="str">
        <x:v>S12,S17,S18</x:v>
      </x:c>
      <x:c r="E20" s="28" t="str">
        <x:v>Sponsor + PM</x:v>
      </x:c>
      <x:c r="F20" s="28" t="str">
        <x:v>MVP 4</x:v>
      </x:c>
      <x:c r="G20" s="28" t="str">
        <x:v>Medium</x:v>
      </x:c>
      <x:c r="H20" s="28" t="str">
        <x:v>Governance Hub</x:v>
      </x:c>
      <x:c r="I20" s="28" t="str">
        <x:v>Decisions are auditable and clear.</x:v>
      </x:c>
    </x:row>
    <x:row r="21">
      <x:c r="A21" s="28" t="str">
        <x:v>E18</x:v>
      </x:c>
      <x:c r="B21" s="28" t="str">
        <x:v>Portfolio &amp; Multi-Project Intelligence</x:v>
      </x:c>
      <x:c r="C21" s="28" t="str">
        <x:v>Aggregate progress, costs, risks and metrics across multiple projects.</x:v>
      </x:c>
      <x:c r="D21" s="28" t="str">
        <x:v>S15-S21</x:v>
      </x:c>
      <x:c r="E21" s="28" t="str">
        <x:v>PMO Lead</x:v>
      </x:c>
      <x:c r="F21" s="28" t="str">
        <x:v>Future</x:v>
      </x:c>
      <x:c r="G21" s="28" t="str">
        <x:v>Low</x:v>
      </x:c>
      <x:c r="H21" s="28" t="str">
        <x:v>Portfolio Hub</x:v>
      </x:c>
      <x:c r="I21" s="28" t="str">
        <x:v>Leaders can manage many products in one view.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42" hidden="0" customWidth="1"/>
    <x:col min="5" max="5" width="42" hidden="0" customWidth="1"/>
    <x:col min="6" max="6" width="14" hidden="0" customWidth="1"/>
    <x:col min="7" max="7" width="12" hidden="0" customWidth="1"/>
    <x:col min="8" max="8" width="22" hidden="0" customWidth="1"/>
    <x:col min="9" max="9" width="22" hidden="0" customWidth="1"/>
    <x:col min="10" max="10" width="44" hidden="0" customWidth="1"/>
    <x:col min="11" max="11" width="14" hidden="0" customWidth="1"/>
  </x:cols>
  <x:sheetData>
    <x:row r="1" ht="28" customHeight="1">
      <x:c r="A1" s="20" t="str">
        <x:v>Detailed User Stories for Engineering and Product Delivery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</x:row>
    <x:row r="3" ht="34" customHeight="1">
      <x:c r="A3" s="26" t="str">
        <x:v>Story ID</x:v>
      </x:c>
      <x:c r="B3" s="26" t="str">
        <x:v>Epic ID</x:v>
      </x:c>
      <x:c r="C3" s="26" t="str">
        <x:v>As a</x:v>
      </x:c>
      <x:c r="D3" s="26" t="str">
        <x:v>I want to</x:v>
      </x:c>
      <x:c r="E3" s="26" t="str">
        <x:v>So that</x:v>
      </x:c>
      <x:c r="F3" s="26" t="str">
        <x:v>Mapped Step</x:v>
      </x:c>
      <x:c r="G3" s="26" t="str">
        <x:v>Priority</x:v>
      </x:c>
      <x:c r="H3" s="26" t="str">
        <x:v>Owner</x:v>
      </x:c>
      <x:c r="I3" s="26" t="str">
        <x:v>Module</x:v>
      </x:c>
      <x:c r="J3" s="26" t="str">
        <x:v>Acceptance Summary</x:v>
      </x:c>
      <x:c r="K3" s="26" t="str">
        <x:v>Status</x:v>
      </x:c>
    </x:row>
    <x:row r="4">
      <x:c r="A4" s="28" t="str">
        <x:v>US001</x:v>
      </x:c>
      <x:c r="B4" s="28" t="str">
        <x:v>E01</x:v>
      </x:c>
      <x:c r="C4" s="28" t="str">
        <x:v>Founder</x:v>
      </x:c>
      <x:c r="D4" s="28" t="str">
        <x:v>enter a raw business idea</x:v>
      </x:c>
      <x:c r="E4" s="28" t="str">
        <x:v>so the system can turn it into a structured opportunity brief</x:v>
      </x:c>
      <x:c r="F4" s="28" t="str">
        <x:v>S01</x:v>
      </x:c>
      <x:c r="G4" s="28" t="str">
        <x:v>High</x:v>
      </x:c>
      <x:c r="H4" s="28" t="str">
        <x:v>Product Manager</x:v>
      </x:c>
      <x:c r="I4" s="28" t="str">
        <x:v>Idea Intake</x:v>
      </x:c>
      <x:c r="J4" s="28" t="str">
        <x:v>Idea text captured; AI extracts problem, assumptions and expected value</x:v>
      </x:c>
      <x:c r="K4" s="28" t="str">
        <x:v>Planned</x:v>
      </x:c>
    </x:row>
    <x:row r="5">
      <x:c r="A5" s="28" t="str">
        <x:v>US002</x:v>
      </x:c>
      <x:c r="B5" s="28" t="str">
        <x:v>E01</x:v>
      </x:c>
      <x:c r="C5" s="28" t="str">
        <x:v>Product Manager</x:v>
      </x:c>
      <x:c r="D5" s="28" t="str">
        <x:v>ask AI to generate brainstorming options</x:v>
      </x:c>
      <x:c r="E5" s="28" t="str">
        <x:v>so I can compare solution directions before committing</x:v>
      </x:c>
      <x:c r="F5" s="28" t="str">
        <x:v>S02</x:v>
      </x:c>
      <x:c r="G5" s="28" t="str">
        <x:v>High</x:v>
      </x:c>
      <x:c r="H5" s="28" t="str">
        <x:v>Product Manager</x:v>
      </x:c>
      <x:c r="I5" s="28" t="str">
        <x:v>Brainstorming</x:v>
      </x:c>
      <x:c r="J5" s="28" t="str">
        <x:v>At least 5 options generated with pros, cons, risks and assumptions</x:v>
      </x:c>
      <x:c r="K5" s="28" t="str">
        <x:v>Planned</x:v>
      </x:c>
    </x:row>
    <x:row r="6">
      <x:c r="A6" s="28" t="str">
        <x:v>US003</x:v>
      </x:c>
      <x:c r="B6" s="28" t="str">
        <x:v>E01</x:v>
      </x:c>
      <x:c r="C6" s="28" t="str">
        <x:v>Product Manager</x:v>
      </x:c>
      <x:c r="D6" s="28" t="str">
        <x:v>save rejected ideas and rationale</x:v>
      </x:c>
      <x:c r="E6" s="28" t="str">
        <x:v>so future teams understand why decisions were made</x:v>
      </x:c>
      <x:c r="F6" s="28" t="str">
        <x:v>S02</x:v>
      </x:c>
      <x:c r="G6" s="28" t="str">
        <x:v>Medium</x:v>
      </x:c>
      <x:c r="H6" s="28" t="str">
        <x:v>Product Manager</x:v>
      </x:c>
      <x:c r="I6" s="28" t="str">
        <x:v>Decision Log</x:v>
      </x:c>
      <x:c r="J6" s="28" t="str">
        <x:v>Rejected option, reason and decision owner are recorded</x:v>
      </x:c>
      <x:c r="K6" s="28" t="str">
        <x:v>Planned</x:v>
      </x:c>
    </x:row>
    <x:row r="7">
      <x:c r="A7" s="28" t="str">
        <x:v>US004</x:v>
      </x:c>
      <x:c r="B7" s="28" t="str">
        <x:v>E02</x:v>
      </x:c>
      <x:c r="C7" s="28" t="str">
        <x:v>Business Analyst</x:v>
      </x:c>
      <x:c r="D7" s="28" t="str">
        <x:v>generate user personas from the idea</x:v>
      </x:c>
      <x:c r="E7" s="28" t="str">
        <x:v>so requirements are tied to real users</x:v>
      </x:c>
      <x:c r="F7" s="28" t="str">
        <x:v>S03</x:v>
      </x:c>
      <x:c r="G7" s="28" t="str">
        <x:v>High</x:v>
      </x:c>
      <x:c r="H7" s="28" t="str">
        <x:v>BA</x:v>
      </x:c>
      <x:c r="I7" s="28" t="str">
        <x:v>Discovery</x:v>
      </x:c>
      <x:c r="J7" s="28" t="str">
        <x:v>Personas include role, goals, pains, context and success outcomes</x:v>
      </x:c>
      <x:c r="K7" s="28" t="str">
        <x:v>Planned</x:v>
      </x:c>
    </x:row>
    <x:row r="8">
      <x:c r="A8" s="28" t="str">
        <x:v>US005</x:v>
      </x:c>
      <x:c r="B8" s="28" t="str">
        <x:v>E02</x:v>
      </x:c>
      <x:c r="C8" s="28" t="str">
        <x:v>Product Manager</x:v>
      </x:c>
      <x:c r="D8" s="28" t="str">
        <x:v>define a measurable problem statement</x:v>
      </x:c>
      <x:c r="E8" s="28" t="str">
        <x:v>so stakeholders can align on the problem before solutioning</x:v>
      </x:c>
      <x:c r="F8" s="28" t="str">
        <x:v>S03</x:v>
      </x:c>
      <x:c r="G8" s="28" t="str">
        <x:v>High</x:v>
      </x:c>
      <x:c r="H8" s="28" t="str">
        <x:v>Product Manager</x:v>
      </x:c>
      <x:c r="I8" s="28" t="str">
        <x:v>Discovery</x:v>
      </x:c>
      <x:c r="J8" s="28" t="str">
        <x:v>Problem includes who, pain, impact, frequency and evidence level</x:v>
      </x:c>
      <x:c r="K8" s="28" t="str">
        <x:v>Planned</x:v>
      </x:c>
    </x:row>
    <x:row r="9">
      <x:c r="A9" s="28" t="str">
        <x:v>US006</x:v>
      </x:c>
      <x:c r="B9" s="28" t="str">
        <x:v>E02</x:v>
      </x:c>
      <x:c r="C9" s="28" t="str">
        <x:v>Founder</x:v>
      </x:c>
      <x:c r="D9" s="28" t="str">
        <x:v>see USP and competitor differentiation</x:v>
      </x:c>
      <x:c r="E9" s="28" t="str">
        <x:v>so I can decide whether the idea is worth building</x:v>
      </x:c>
      <x:c r="F9" s="28" t="str">
        <x:v>S03</x:v>
      </x:c>
      <x:c r="G9" s="28" t="str">
        <x:v>Medium</x:v>
      </x:c>
      <x:c r="H9" s="28" t="str">
        <x:v>Product Manager</x:v>
      </x:c>
      <x:c r="I9" s="28" t="str">
        <x:v>Discovery</x:v>
      </x:c>
      <x:c r="J9" s="28" t="str">
        <x:v>USP includes competitor gap, unique workflow and defensibility</x:v>
      </x:c>
      <x:c r="K9" s="28" t="str">
        <x:v>Planned</x:v>
      </x:c>
    </x:row>
    <x:row r="10">
      <x:c r="A10" s="28" t="str">
        <x:v>US007</x:v>
      </x:c>
      <x:c r="B10" s="28" t="str">
        <x:v>E03</x:v>
      </x:c>
      <x:c r="C10" s="28" t="str">
        <x:v>Product Manager</x:v>
      </x:c>
      <x:c r="D10" s="28" t="str">
        <x:v>generate a product vision and MVP scope</x:v>
      </x:c>
      <x:c r="E10" s="28" t="str">
        <x:v>so the team knows what to build first</x:v>
      </x:c>
      <x:c r="F10" s="28" t="str">
        <x:v>S04</x:v>
      </x:c>
      <x:c r="G10" s="28" t="str">
        <x:v>High</x:v>
      </x:c>
      <x:c r="H10" s="28" t="str">
        <x:v>Product Manager</x:v>
      </x:c>
      <x:c r="I10" s="28" t="str">
        <x:v>Strategy</x:v>
      </x:c>
      <x:c r="J10" s="28" t="str">
        <x:v>Vision, MVP features, non-goals and success metrics are created</x:v>
      </x:c>
      <x:c r="K10" s="28" t="str">
        <x:v>Planned</x:v>
      </x:c>
    </x:row>
    <x:row r="11">
      <x:c r="A11" s="28" t="str">
        <x:v>US008</x:v>
      </x:c>
      <x:c r="B11" s="28" t="str">
        <x:v>E03</x:v>
      </x:c>
      <x:c r="C11" s="28" t="str">
        <x:v>Product Manager</x:v>
      </x:c>
      <x:c r="D11" s="28" t="str">
        <x:v>prioritise features using RICE or MoSCoW</x:v>
      </x:c>
      <x:c r="E11" s="28" t="str">
        <x:v>so roadmap decisions are transparent</x:v>
      </x:c>
      <x:c r="F11" s="28" t="str">
        <x:v>S04</x:v>
      </x:c>
      <x:c r="G11" s="28" t="str">
        <x:v>High</x:v>
      </x:c>
      <x:c r="H11" s="28" t="str">
        <x:v>Product Manager</x:v>
      </x:c>
      <x:c r="I11" s="28" t="str">
        <x:v>Prioritisation</x:v>
      </x:c>
      <x:c r="J11" s="28" t="str">
        <x:v>Each feature has priority, rationale and scoring inputs</x:v>
      </x:c>
      <x:c r="K11" s="28" t="str">
        <x:v>Planned</x:v>
      </x:c>
    </x:row>
    <x:row r="12">
      <x:c r="A12" s="28" t="str">
        <x:v>US009</x:v>
      </x:c>
      <x:c r="B12" s="28" t="str">
        <x:v>E03</x:v>
      </x:c>
      <x:c r="C12" s="28" t="str">
        <x:v>Sponsor</x:v>
      </x:c>
      <x:c r="D12" s="28" t="str">
        <x:v>review roadmap options</x:v>
      </x:c>
      <x:c r="E12" s="28" t="str">
        <x:v>so investment decisions are based on scope, risk and value</x:v>
      </x:c>
      <x:c r="F12" s="28" t="str">
        <x:v>S04</x:v>
      </x:c>
      <x:c r="G12" s="28" t="str">
        <x:v>Medium</x:v>
      </x:c>
      <x:c r="H12" s="28" t="str">
        <x:v>Sponsor</x:v>
      </x:c>
      <x:c r="I12" s="28" t="str">
        <x:v>Roadmap</x:v>
      </x:c>
      <x:c r="J12" s="28" t="str">
        <x:v>Roadmap includes now/next/later and delivery assumptions</x:v>
      </x:c>
      <x:c r="K12" s="28" t="str">
        <x:v>Planned</x:v>
      </x:c>
    </x:row>
    <x:row r="13">
      <x:c r="A13" s="28" t="str">
        <x:v>US010</x:v>
      </x:c>
      <x:c r="B13" s="28" t="str">
        <x:v>E04</x:v>
      </x:c>
      <x:c r="C13" s="28" t="str">
        <x:v>BA</x:v>
      </x:c>
      <x:c r="D13" s="28" t="str">
        <x:v>generate a BRD from strategy</x:v>
      </x:c>
      <x:c r="E13" s="28" t="str">
        <x:v>so business needs and constraints are documented</x:v>
      </x:c>
      <x:c r="F13" s="28" t="str">
        <x:v>S05</x:v>
      </x:c>
      <x:c r="G13" s="28" t="str">
        <x:v>High</x:v>
      </x:c>
      <x:c r="H13" s="28" t="str">
        <x:v>BA</x:v>
      </x:c>
      <x:c r="I13" s="28" t="str">
        <x:v>Requirements</x:v>
      </x:c>
      <x:c r="J13" s="28" t="str">
        <x:v>BRD includes objectives, scope, stakeholders, process and benefits</x:v>
      </x:c>
      <x:c r="K13" s="28" t="str">
        <x:v>Planned</x:v>
      </x:c>
    </x:row>
    <x:row r="14">
      <x:c r="A14" s="28" t="str">
        <x:v>US011</x:v>
      </x:c>
      <x:c r="B14" s="28" t="str">
        <x:v>E04</x:v>
      </x:c>
      <x:c r="C14" s="28" t="str">
        <x:v>Product Manager</x:v>
      </x:c>
      <x:c r="D14" s="28" t="str">
        <x:v>generate a PRD from approved scope</x:v>
      </x:c>
      <x:c r="E14" s="28" t="str">
        <x:v>so engineering understands feature behaviour and user value</x:v>
      </x:c>
      <x:c r="F14" s="28" t="str">
        <x:v>S05</x:v>
      </x:c>
      <x:c r="G14" s="28" t="str">
        <x:v>High</x:v>
      </x:c>
      <x:c r="H14" s="28" t="str">
        <x:v>Product Manager</x:v>
      </x:c>
      <x:c r="I14" s="28" t="str">
        <x:v>Requirements</x:v>
      </x:c>
      <x:c r="J14" s="28" t="str">
        <x:v>PRD includes goals, personas, features, metrics, risks and dependencies</x:v>
      </x:c>
      <x:c r="K14" s="28" t="str">
        <x:v>Planned</x:v>
      </x:c>
    </x:row>
    <x:row r="15">
      <x:c r="A15" s="28" t="str">
        <x:v>US012</x:v>
      </x:c>
      <x:c r="B15" s="28" t="str">
        <x:v>E04</x:v>
      </x:c>
      <x:c r="C15" s="28" t="str">
        <x:v>Engineering Lead</x:v>
      </x:c>
      <x:c r="D15" s="28" t="str">
        <x:v>receive non-functional requirements</x:v>
      </x:c>
      <x:c r="E15" s="28" t="str">
        <x:v>so architecture decisions include security, performance and scalability</x:v>
      </x:c>
      <x:c r="F15" s="28" t="str">
        <x:v>S05</x:v>
      </x:c>
      <x:c r="G15" s="28" t="str">
        <x:v>High</x:v>
      </x:c>
      <x:c r="H15" s="28" t="str">
        <x:v>Engineering Lead</x:v>
      </x:c>
      <x:c r="I15" s="28" t="str">
        <x:v>NFR</x:v>
      </x:c>
      <x:c r="J15" s="28" t="str">
        <x:v>NFRs include availability, security, performance, data and compliance</x:v>
      </x:c>
      <x:c r="K15" s="28" t="str">
        <x:v>Planned</x:v>
      </x:c>
    </x:row>
    <x:row r="16">
      <x:c r="A16" s="28" t="str">
        <x:v>US013</x:v>
      </x:c>
      <x:c r="B16" s="28" t="str">
        <x:v>E05</x:v>
      </x:c>
      <x:c r="C16" s="28" t="str">
        <x:v>Solution Architect</x:v>
      </x:c>
      <x:c r="D16" s="28" t="str">
        <x:v>generate a workflow Mermaid diagram</x:v>
      </x:c>
      <x:c r="E16" s="28" t="str">
        <x:v>so teams visually understand end-to-end behaviour</x:v>
      </x:c>
      <x:c r="F16" s="28" t="str">
        <x:v>S04</x:v>
      </x:c>
      <x:c r="G16" s="28" t="str">
        <x:v>Medium</x:v>
      </x:c>
      <x:c r="H16" s="28" t="str">
        <x:v>Architect</x:v>
      </x:c>
      <x:c r="I16" s="28" t="str">
        <x:v>Diagram Engine</x:v>
      </x:c>
      <x:c r="J16" s="28" t="str">
        <x:v>Diagram renders valid Mermaid and maps to process steps</x:v>
      </x:c>
      <x:c r="K16" s="28" t="str">
        <x:v>Planned</x:v>
      </x:c>
    </x:row>
    <x:row r="17">
      <x:c r="A17" s="28" t="str">
        <x:v>US014</x:v>
      </x:c>
      <x:c r="B17" s="28" t="str">
        <x:v>E05</x:v>
      </x:c>
      <x:c r="C17" s="28" t="str">
        <x:v>Engineering Lead</x:v>
      </x:c>
      <x:c r="D17" s="28" t="str">
        <x:v>generate a system architecture diagram</x:v>
      </x:c>
      <x:c r="E17" s="28" t="str">
        <x:v>so implementation components are clear</x:v>
      </x:c>
      <x:c r="F17" s="28" t="str">
        <x:v>S14</x:v>
      </x:c>
      <x:c r="G17" s="28" t="str">
        <x:v>Medium</x:v>
      </x:c>
      <x:c r="H17" s="28" t="str">
        <x:v>Architect</x:v>
      </x:c>
      <x:c r="I17" s="28" t="str">
        <x:v>Diagram Engine</x:v>
      </x:c>
      <x:c r="J17" s="28" t="str">
        <x:v>Diagram includes frontend, backend, DB, AI services and integrations</x:v>
      </x:c>
      <x:c r="K17" s="28" t="str">
        <x:v>Planned</x:v>
      </x:c>
    </x:row>
    <x:row r="18">
      <x:c r="A18" s="28" t="str">
        <x:v>US015</x:v>
      </x:c>
      <x:c r="B18" s="28" t="str">
        <x:v>E05</x:v>
      </x:c>
      <x:c r="C18" s="28" t="str">
        <x:v>PM</x:v>
      </x:c>
      <x:c r="D18" s="28" t="str">
        <x:v>see diagram changes after code updates</x:v>
      </x:c>
      <x:c r="E18" s="28" t="str">
        <x:v>so documentation reflects what was actually built</x:v>
      </x:c>
      <x:c r="F18" s="28" t="str">
        <x:v>S14</x:v>
      </x:c>
      <x:c r="G18" s="28" t="str">
        <x:v>High</x:v>
      </x:c>
      <x:c r="H18" s="28" t="str">
        <x:v>PM</x:v>
      </x:c>
      <x:c r="I18" s="28" t="str">
        <x:v>Diagram Engine</x:v>
      </x:c>
      <x:c r="J18" s="28" t="str">
        <x:v>Diagram update is linked to commit/PR/change reason</x:v>
      </x:c>
      <x:c r="K18" s="28" t="str">
        <x:v>Planned</x:v>
      </x:c>
    </x:row>
    <x:row r="19">
      <x:c r="A19" s="28" t="str">
        <x:v>US016</x:v>
      </x:c>
      <x:c r="B19" s="28" t="str">
        <x:v>E06</x:v>
      </x:c>
      <x:c r="C19" s="28" t="str">
        <x:v>BA</x:v>
      </x:c>
      <x:c r="D19" s="28" t="str">
        <x:v>break PRD into epics</x:v>
      </x:c>
      <x:c r="E19" s="28" t="str">
        <x:v>so the product can be planned in manageable delivery themes</x:v>
      </x:c>
      <x:c r="F19" s="28" t="str">
        <x:v>S06</x:v>
      </x:c>
      <x:c r="G19" s="28" t="str">
        <x:v>High</x:v>
      </x:c>
      <x:c r="H19" s="28" t="str">
        <x:v>BA</x:v>
      </x:c>
      <x:c r="I19" s="28" t="str">
        <x:v>Backlog</x:v>
      </x:c>
      <x:c r="J19" s="28" t="str">
        <x:v>Epics include business value, scope, owner and mapped requirements</x:v>
      </x:c>
      <x:c r="K19" s="28" t="str">
        <x:v>Planned</x:v>
      </x:c>
    </x:row>
    <x:row r="20">
      <x:c r="A20" s="28" t="str">
        <x:v>US017</x:v>
      </x:c>
      <x:c r="B20" s="28" t="str">
        <x:v>E06</x:v>
      </x:c>
      <x:c r="C20" s="28" t="str">
        <x:v>BA</x:v>
      </x:c>
      <x:c r="D20" s="28" t="str">
        <x:v>generate user stories from each epic</x:v>
      </x:c>
      <x:c r="E20" s="28" t="str">
        <x:v>so engineering has clear work items</x:v>
      </x:c>
      <x:c r="F20" s="28" t="str">
        <x:v>S06</x:v>
      </x:c>
      <x:c r="G20" s="28" t="str">
        <x:v>High</x:v>
      </x:c>
      <x:c r="H20" s="28" t="str">
        <x:v>BA</x:v>
      </x:c>
      <x:c r="I20" s="28" t="str">
        <x:v>Backlog</x:v>
      </x:c>
      <x:c r="J20" s="28" t="str">
        <x:v>Each story follows role/want/benefit and maps to one requirement</x:v>
      </x:c>
      <x:c r="K20" s="28" t="str">
        <x:v>Planned</x:v>
      </x:c>
    </x:row>
    <x:row r="21">
      <x:c r="A21" s="28" t="str">
        <x:v>US018</x:v>
      </x:c>
      <x:c r="B21" s="28" t="str">
        <x:v>E06</x:v>
      </x:c>
      <x:c r="C21" s="28" t="str">
        <x:v>Scrum Master</x:v>
      </x:c>
      <x:c r="D21" s="28" t="str">
        <x:v>flag stories that fail INVEST</x:v>
      </x:c>
      <x:c r="E21" s="28" t="str">
        <x:v>so the team improves backlog quality before sprint planning</x:v>
      </x:c>
      <x:c r="F21" s="28" t="str">
        <x:v>S06</x:v>
      </x:c>
      <x:c r="G21" s="28" t="str">
        <x:v>High</x:v>
      </x:c>
      <x:c r="H21" s="28" t="str">
        <x:v>Scrum Master</x:v>
      </x:c>
      <x:c r="I21" s="28" t="str">
        <x:v>Backlog Quality</x:v>
      </x:c>
      <x:c r="J21" s="28" t="str">
        <x:v>System flags dependencies, unclear value, large size or untestable wording</x:v>
      </x:c>
      <x:c r="K21" s="28" t="str">
        <x:v>Planned</x:v>
      </x:c>
    </x:row>
    <x:row r="22">
      <x:c r="A22" s="28" t="str">
        <x:v>US019</x:v>
      </x:c>
      <x:c r="B22" s="28" t="str">
        <x:v>E07</x:v>
      </x:c>
      <x:c r="C22" s="28" t="str">
        <x:v>QA Lead</x:v>
      </x:c>
      <x:c r="D22" s="28" t="str">
        <x:v>generate acceptance criteria for each story</x:v>
      </x:c>
      <x:c r="E22" s="28" t="str">
        <x:v>so QA can design test cases early</x:v>
      </x:c>
      <x:c r="F22" s="28" t="str">
        <x:v>S07</x:v>
      </x:c>
      <x:c r="G22" s="28" t="str">
        <x:v>High</x:v>
      </x:c>
      <x:c r="H22" s="28" t="str">
        <x:v>QA</x:v>
      </x:c>
      <x:c r="I22" s="28" t="str">
        <x:v>Quality</x:v>
      </x:c>
      <x:c r="J22" s="28" t="str">
        <x:v>Each story has functional, edge case and NFR criteria</x:v>
      </x:c>
      <x:c r="K22" s="28" t="str">
        <x:v>Planned</x:v>
      </x:c>
    </x:row>
    <x:row r="23">
      <x:c r="A23" s="28" t="str">
        <x:v>US020</x:v>
      </x:c>
      <x:c r="B23" s="28" t="str">
        <x:v>E07</x:v>
      </x:c>
      <x:c r="C23" s="28" t="str">
        <x:v>BA</x:v>
      </x:c>
      <x:c r="D23" s="28" t="str">
        <x:v>edit AI-generated acceptance criteria</x:v>
      </x:c>
      <x:c r="E23" s="28" t="str">
        <x:v>so final criteria reflect stakeholder intent</x:v>
      </x:c>
      <x:c r="F23" s="28" t="str">
        <x:v>S07</x:v>
      </x:c>
      <x:c r="G23" s="28" t="str">
        <x:v>High</x:v>
      </x:c>
      <x:c r="H23" s="28" t="str">
        <x:v>BA</x:v>
      </x:c>
      <x:c r="I23" s="28" t="str">
        <x:v>Quality</x:v>
      </x:c>
      <x:c r="J23" s="28" t="str">
        <x:v>User can accept, edit, reject and version criteria</x:v>
      </x:c>
      <x:c r="K23" s="28" t="str">
        <x:v>Planned</x:v>
      </x:c>
    </x:row>
    <x:row r="24">
      <x:c r="A24" s="28" t="str">
        <x:v>US021</x:v>
      </x:c>
      <x:c r="B24" s="28" t="str">
        <x:v>E07</x:v>
      </x:c>
      <x:c r="C24" s="28" t="str">
        <x:v>QA Lead</x:v>
      </x:c>
      <x:c r="D24" s="28" t="str">
        <x:v>generate test scenarios from criteria</x:v>
      </x:c>
      <x:c r="E24" s="28" t="str">
        <x:v>so validation can be planned before coding</x:v>
      </x:c>
      <x:c r="F24" s="28" t="str">
        <x:v>S07</x:v>
      </x:c>
      <x:c r="G24" s="28" t="str">
        <x:v>Medium</x:v>
      </x:c>
      <x:c r="H24" s="28" t="str">
        <x:v>QA</x:v>
      </x:c>
      <x:c r="I24" s="28" t="str">
        <x:v>Quality</x:v>
      </x:c>
      <x:c r="J24" s="28" t="str">
        <x:v>Test scenarios link to AC and expected results</x:v>
      </x:c>
      <x:c r="K24" s="28" t="str">
        <x:v>Planned</x:v>
      </x:c>
    </x:row>
    <x:row r="25">
      <x:c r="A25" s="28" t="str">
        <x:v>US022</x:v>
      </x:c>
      <x:c r="B25" s="28" t="str">
        <x:v>E08</x:v>
      </x:c>
      <x:c r="C25" s="28" t="str">
        <x:v>PM</x:v>
      </x:c>
      <x:c r="D25" s="28" t="str">
        <x:v>push approved PRD to Confluence</x:v>
      </x:c>
      <x:c r="E25" s="28" t="str">
        <x:v>so stakeholders can access the source of truth</x:v>
      </x:c>
      <x:c r="F25" s="28" t="str">
        <x:v>S13</x:v>
      </x:c>
      <x:c r="G25" s="28" t="str">
        <x:v>High</x:v>
      </x:c>
      <x:c r="H25" s="28" t="str">
        <x:v>Documentation Agent</x:v>
      </x:c>
      <x:c r="I25" s="28" t="str">
        <x:v>Confluence</x:v>
      </x:c>
      <x:c r="J25" s="28" t="str">
        <x:v>Confluence page created with version, owner and approval status</x:v>
      </x:c>
      <x:c r="K25" s="28" t="str">
        <x:v>Planned</x:v>
      </x:c>
    </x:row>
    <x:row r="26">
      <x:c r="A26" s="28" t="str">
        <x:v>US023</x:v>
      </x:c>
      <x:c r="B26" s="28" t="str">
        <x:v>E08</x:v>
      </x:c>
      <x:c r="C26" s="28" t="str">
        <x:v>BA</x:v>
      </x:c>
      <x:c r="D26" s="28" t="str">
        <x:v>sync requirement changes to Confluence</x:v>
      </x:c>
      <x:c r="E26" s="28" t="str">
        <x:v>so documentation stays current</x:v>
      </x:c>
      <x:c r="F26" s="28" t="str">
        <x:v>S13</x:v>
      </x:c>
      <x:c r="G26" s="28" t="str">
        <x:v>High</x:v>
      </x:c>
      <x:c r="H26" s="28" t="str">
        <x:v>BA</x:v>
      </x:c>
      <x:c r="I26" s="28" t="str">
        <x:v>Confluence</x:v>
      </x:c>
      <x:c r="J26" s="28" t="str">
        <x:v>Change log captures before/after, owner and timestamp</x:v>
      </x:c>
      <x:c r="K26" s="28" t="str">
        <x:v>Planned</x:v>
      </x:c>
    </x:row>
    <x:row r="27">
      <x:c r="A27" s="28" t="str">
        <x:v>US024</x:v>
      </x:c>
      <x:c r="B27" s="28" t="str">
        <x:v>E08</x:v>
      </x:c>
      <x:c r="C27" s="28" t="str">
        <x:v>Sponsor</x:v>
      </x:c>
      <x:c r="D27" s="28" t="str">
        <x:v>view release notes from Confluence</x:v>
      </x:c>
      <x:c r="E27" s="28" t="str">
        <x:v>so business users know what changed</x:v>
      </x:c>
      <x:c r="F27" s="28" t="str">
        <x:v>S13</x:v>
      </x:c>
      <x:c r="G27" s="28" t="str">
        <x:v>Medium</x:v>
      </x:c>
      <x:c r="H27" s="28" t="str">
        <x:v>PM</x:v>
      </x:c>
      <x:c r="I27" s="28" t="str">
        <x:v>Confluence</x:v>
      </x:c>
      <x:c r="J27" s="28" t="str">
        <x:v>Release notes include delivered stories and validation evidence</x:v>
      </x:c>
      <x:c r="K27" s="28" t="str">
        <x:v>Planned</x:v>
      </x:c>
    </x:row>
    <x:row r="28">
      <x:c r="A28" s="28" t="str">
        <x:v>US025</x:v>
      </x:c>
      <x:c r="B28" s="28" t="str">
        <x:v>E09</x:v>
      </x:c>
      <x:c r="C28" s="28" t="str">
        <x:v>Scrum Master</x:v>
      </x:c>
      <x:c r="D28" s="28" t="str">
        <x:v>push stories to Jira or Linear</x:v>
      </x:c>
      <x:c r="E28" s="28" t="str">
        <x:v>so the team can start sprint planning</x:v>
      </x:c>
      <x:c r="F28" s="28" t="str">
        <x:v>S08</x:v>
      </x:c>
      <x:c r="G28" s="28" t="str">
        <x:v>High</x:v>
      </x:c>
      <x:c r="H28" s="28" t="str">
        <x:v>Project Manager</x:v>
      </x:c>
      <x:c r="I28" s="28" t="str">
        <x:v>Jira Sync</x:v>
      </x:c>
      <x:c r="J28" s="28" t="str">
        <x:v>Epic, story, AC, priority and labels are synced</x:v>
      </x:c>
      <x:c r="K28" s="28" t="str">
        <x:v>Planned</x:v>
      </x:c>
    </x:row>
    <x:row r="29">
      <x:c r="A29" s="28" t="str">
        <x:v>US026</x:v>
      </x:c>
      <x:c r="B29" s="28" t="str">
        <x:v>E09</x:v>
      </x:c>
      <x:c r="C29" s="28" t="str">
        <x:v>PM</x:v>
      </x:c>
      <x:c r="D29" s="28" t="str">
        <x:v>keep Jira status synced with the platform</x:v>
      </x:c>
      <x:c r="E29" s="28" t="str">
        <x:v>so dashboards reflect reality</x:v>
      </x:c>
      <x:c r="F29" s="28" t="str">
        <x:v>S08</x:v>
      </x:c>
      <x:c r="G29" s="28" t="str">
        <x:v>High</x:v>
      </x:c>
      <x:c r="H29" s="28" t="str">
        <x:v>PM</x:v>
      </x:c>
      <x:c r="I29" s="28" t="str">
        <x:v>Jira Sync</x:v>
      </x:c>
      <x:c r="J29" s="28" t="str">
        <x:v>Status, assignee, sprint and blocker fields sync on schedule</x:v>
      </x:c>
      <x:c r="K29" s="28" t="str">
        <x:v>Planned</x:v>
      </x:c>
    </x:row>
    <x:row r="30">
      <x:c r="A30" s="28" t="str">
        <x:v>US027</x:v>
      </x:c>
      <x:c r="B30" s="28" t="str">
        <x:v>E09</x:v>
      </x:c>
      <x:c r="C30" s="28" t="str">
        <x:v>BA</x:v>
      </x:c>
      <x:c r="D30" s="28" t="str">
        <x:v>see unmapped Jira tickets</x:v>
      </x:c>
      <x:c r="E30" s="28" t="str">
        <x:v>so orphan engineering work is detected</x:v>
      </x:c>
      <x:c r="F30" s="28" t="str">
        <x:v>S08</x:v>
      </x:c>
      <x:c r="G30" s="28" t="str">
        <x:v>Medium</x:v>
      </x:c>
      <x:c r="H30" s="28" t="str">
        <x:v>BA</x:v>
      </x:c>
      <x:c r="I30" s="28" t="str">
        <x:v>Backlog Quality</x:v>
      </x:c>
      <x:c r="J30" s="28" t="str">
        <x:v>Tickets without requirement links are flagged</x:v>
      </x:c>
      <x:c r="K30" s="28" t="str">
        <x:v>Planned</x:v>
      </x:c>
    </x:row>
    <x:row r="31">
      <x:c r="A31" s="28" t="str">
        <x:v>US028</x:v>
      </x:c>
      <x:c r="B31" s="28" t="str">
        <x:v>E10</x:v>
      </x:c>
      <x:c r="C31" s="28" t="str">
        <x:v>Developer</x:v>
      </x:c>
      <x:c r="D31" s="28" t="str">
        <x:v>open a story inside my IDE with full context</x:v>
      </x:c>
      <x:c r="E31" s="28" t="str">
        <x:v>so I can build without searching across documents</x:v>
      </x:c>
      <x:c r="F31" s="28" t="str">
        <x:v>S09</x:v>
      </x:c>
      <x:c r="G31" s="28" t="str">
        <x:v>High</x:v>
      </x:c>
      <x:c r="H31" s="28" t="str">
        <x:v>Engineering</x:v>
      </x:c>
      <x:c r="I31" s="28" t="str">
        <x:v>IDE Sync</x:v>
      </x:c>
      <x:c r="J31" s="28" t="str">
        <x:v>Story includes requirements, AC, UX notes, APIs and linked diagrams</x:v>
      </x:c>
      <x:c r="K31" s="28" t="str">
        <x:v>Planned</x:v>
      </x:c>
    </x:row>
    <x:row r="32">
      <x:c r="A32" s="28" t="str">
        <x:v>US029</x:v>
      </x:c>
      <x:c r="B32" s="28" t="str">
        <x:v>E10</x:v>
      </x:c>
      <x:c r="C32" s="28" t="str">
        <x:v>Developer</x:v>
      </x:c>
      <x:c r="D32" s="28" t="str">
        <x:v>create a branch from a user story</x:v>
      </x:c>
      <x:c r="E32" s="28" t="str">
        <x:v>so code is linked to the backlog item</x:v>
      </x:c>
      <x:c r="F32" s="28" t="str">
        <x:v>S09</x:v>
      </x:c>
      <x:c r="G32" s="28" t="str">
        <x:v>High</x:v>
      </x:c>
      <x:c r="H32" s="28" t="str">
        <x:v>Engineering</x:v>
      </x:c>
      <x:c r="I32" s="28" t="str">
        <x:v>GitHub</x:v>
      </x:c>
      <x:c r="J32" s="28" t="str">
        <x:v>Branch naming includes story ID and epic ID</x:v>
      </x:c>
      <x:c r="K32" s="28" t="str">
        <x:v>Planned</x:v>
      </x:c>
    </x:row>
    <x:row r="33">
      <x:c r="A33" s="28" t="str">
        <x:v>US030</x:v>
      </x:c>
      <x:c r="B33" s="28" t="str">
        <x:v>E10</x:v>
      </x:c>
      <x:c r="C33" s="28" t="str">
        <x:v>Engineering Lead</x:v>
      </x:c>
      <x:c r="D33" s="28" t="str">
        <x:v>view PRs mapped to stories</x:v>
      </x:c>
      <x:c r="E33" s="28" t="str">
        <x:v>so I can monitor engineering progress</x:v>
      </x:c>
      <x:c r="F33" s="28" t="str">
        <x:v>S10</x:v>
      </x:c>
      <x:c r="G33" s="28" t="str">
        <x:v>High</x:v>
      </x:c>
      <x:c r="H33" s="28" t="str">
        <x:v>Engineering Lead</x:v>
      </x:c>
      <x:c r="I33" s="28" t="str">
        <x:v>GitHub</x:v>
      </x:c>
      <x:c r="J33" s="28" t="str">
        <x:v>PR view shows story, AC coverage, tests and status</x:v>
      </x:c>
      <x:c r="K33" s="28" t="str">
        <x:v>Planned</x:v>
      </x:c>
    </x:row>
    <x:row r="34">
      <x:c r="A34" s="28" t="str">
        <x:v>US031</x:v>
      </x:c>
      <x:c r="B34" s="28" t="str">
        <x:v>E11</x:v>
      </x:c>
      <x:c r="C34" s="28" t="str">
        <x:v>QA Lead</x:v>
      </x:c>
      <x:c r="D34" s="28" t="str">
        <x:v>compare built output against acceptance criteria</x:v>
      </x:c>
      <x:c r="E34" s="28" t="str">
        <x:v>so gaps are found before release</x:v>
      </x:c>
      <x:c r="F34" s="28" t="str">
        <x:v>S11</x:v>
      </x:c>
      <x:c r="G34" s="28" t="str">
        <x:v>Critical</x:v>
      </x:c>
      <x:c r="H34" s="28" t="str">
        <x:v>QA</x:v>
      </x:c>
      <x:c r="I34" s="28" t="str">
        <x:v>Validation</x:v>
      </x:c>
      <x:c r="J34" s="28" t="str">
        <x:v>Validation report shows passed, failed and untested criteria</x:v>
      </x:c>
      <x:c r="K34" s="28" t="str">
        <x:v>Planned</x:v>
      </x:c>
    </x:row>
    <x:row r="35">
      <x:c r="A35" s="28" t="str">
        <x:v>US032</x:v>
      </x:c>
      <x:c r="B35" s="28" t="str">
        <x:v>E11</x:v>
      </x:c>
      <x:c r="C35" s="28" t="str">
        <x:v>Engineering Lead</x:v>
      </x:c>
      <x:c r="D35" s="28" t="str">
        <x:v>run automated test coverage mapping</x:v>
      </x:c>
      <x:c r="E35" s="28" t="str">
        <x:v>so quality evidence is connected to stories</x:v>
      </x:c>
      <x:c r="F35" s="28" t="str">
        <x:v>S11</x:v>
      </x:c>
      <x:c r="G35" s="28" t="str">
        <x:v>High</x:v>
      </x:c>
      <x:c r="H35" s="28" t="str">
        <x:v>Engineering Lead</x:v>
      </x:c>
      <x:c r="I35" s="28" t="str">
        <x:v>Validation</x:v>
      </x:c>
      <x:c r="J35" s="28" t="str">
        <x:v>Tests map to story ID and AC ID</x:v>
      </x:c>
      <x:c r="K35" s="28" t="str">
        <x:v>Planned</x:v>
      </x:c>
    </x:row>
    <x:row r="36">
      <x:c r="A36" s="28" t="str">
        <x:v>US033</x:v>
      </x:c>
      <x:c r="B36" s="28" t="str">
        <x:v>E11</x:v>
      </x:c>
      <x:c r="C36" s="28" t="str">
        <x:v>Security Lead</x:v>
      </x:c>
      <x:c r="D36" s="28" t="str">
        <x:v>run security checks on implementation</x:v>
      </x:c>
      <x:c r="E36" s="28" t="str">
        <x:v>so releases meet security expectations</x:v>
      </x:c>
      <x:c r="F36" s="28" t="str">
        <x:v>S11</x:v>
      </x:c>
      <x:c r="G36" s="28" t="str">
        <x:v>High</x:v>
      </x:c>
      <x:c r="H36" s="28" t="str">
        <x:v>Security</x:v>
      </x:c>
      <x:c r="I36" s="28" t="str">
        <x:v>Validation</x:v>
      </x:c>
      <x:c r="J36" s="28" t="str">
        <x:v>Security checks include auth, RBAC, data handling and secrets</x:v>
      </x:c>
      <x:c r="K36" s="28" t="str">
        <x:v>Planned</x:v>
      </x:c>
    </x:row>
    <x:row r="37">
      <x:c r="A37" s="28" t="str">
        <x:v>US034</x:v>
      </x:c>
      <x:c r="B37" s="28" t="str">
        <x:v>E12</x:v>
      </x:c>
      <x:c r="C37" s="28" t="str">
        <x:v>Product Manager</x:v>
      </x:c>
      <x:c r="D37" s="28" t="str">
        <x:v>see if code matches requirements</x:v>
      </x:c>
      <x:c r="E37" s="28" t="str">
        <x:v>so I can approve or request rework</x:v>
      </x:c>
      <x:c r="F37" s="28" t="str">
        <x:v>S12</x:v>
      </x:c>
      <x:c r="G37" s="28" t="str">
        <x:v>Critical</x:v>
      </x:c>
      <x:c r="H37" s="28" t="str">
        <x:v>Product Manager</x:v>
      </x:c>
      <x:c r="I37" s="28" t="str">
        <x:v>Traceability</x:v>
      </x:c>
      <x:c r="J37" s="28" t="str">
        <x:v>Each requirement shows planned, built, tested and documented status</x:v>
      </x:c>
      <x:c r="K37" s="28" t="str">
        <x:v>Planned</x:v>
      </x:c>
    </x:row>
    <x:row r="38">
      <x:c r="A38" s="28" t="str">
        <x:v>US035</x:v>
      </x:c>
      <x:c r="B38" s="28" t="str">
        <x:v>E12</x:v>
      </x:c>
      <x:c r="C38" s="28" t="str">
        <x:v>BA</x:v>
      </x:c>
      <x:c r="D38" s="28" t="str">
        <x:v>trace every user story back to a business requirement</x:v>
      </x:c>
      <x:c r="E38" s="28" t="str">
        <x:v>so scope and value are protected</x:v>
      </x:c>
      <x:c r="F38" s="28" t="str">
        <x:v>S12</x:v>
      </x:c>
      <x:c r="G38" s="28" t="str">
        <x:v>Critical</x:v>
      </x:c>
      <x:c r="H38" s="28" t="str">
        <x:v>BA</x:v>
      </x:c>
      <x:c r="I38" s="28" t="str">
        <x:v>Traceability</x:v>
      </x:c>
      <x:c r="J38" s="28" t="str">
        <x:v>Every story has requirement, epic, AC and test links</x:v>
      </x:c>
      <x:c r="K38" s="28" t="str">
        <x:v>Planned</x:v>
      </x:c>
    </x:row>
    <x:row r="39">
      <x:c r="A39" s="28" t="str">
        <x:v>US036</x:v>
      </x:c>
      <x:c r="B39" s="28" t="str">
        <x:v>E12</x:v>
      </x:c>
      <x:c r="C39" s="28" t="str">
        <x:v>PMO</x:v>
      </x:c>
      <x:c r="D39" s="28" t="str">
        <x:v>detect gaps across requirements, code and tests</x:v>
      </x:c>
      <x:c r="E39" s="28" t="str">
        <x:v>so risk is visible early</x:v>
      </x:c>
      <x:c r="F39" s="28" t="str">
        <x:v>S12</x:v>
      </x:c>
      <x:c r="G39" s="28" t="str">
        <x:v>High</x:v>
      </x:c>
      <x:c r="H39" s="28" t="str">
        <x:v>PMO</x:v>
      </x:c>
      <x:c r="I39" s="28" t="str">
        <x:v>Traceability</x:v>
      </x:c>
      <x:c r="J39" s="28" t="str">
        <x:v>Gaps create alerts and recommended actions</x:v>
      </x:c>
      <x:c r="K39" s="28" t="str">
        <x:v>Planned</x:v>
      </x:c>
    </x:row>
    <x:row r="40">
      <x:c r="A40" s="28" t="str">
        <x:v>US037</x:v>
      </x:c>
      <x:c r="B40" s="28" t="str">
        <x:v>E13</x:v>
      </x:c>
      <x:c r="C40" s="28" t="str">
        <x:v>Scrum Master</x:v>
      </x:c>
      <x:c r="D40" s="28" t="str">
        <x:v>capture daily standup notes</x:v>
      </x:c>
      <x:c r="E40" s="28" t="str">
        <x:v>so blockers and progress are recorded</x:v>
      </x:c>
      <x:c r="F40" s="28" t="str">
        <x:v>S16</x:v>
      </x:c>
      <x:c r="G40" s="28" t="str">
        <x:v>Medium</x:v>
      </x:c>
      <x:c r="H40" s="28" t="str">
        <x:v>Scrum Master</x:v>
      </x:c>
      <x:c r="I40" s="28" t="str">
        <x:v>Meetings</x:v>
      </x:c>
      <x:c r="J40" s="28" t="str">
        <x:v>Notes are summarised by done, doing, blockers and decisions</x:v>
      </x:c>
      <x:c r="K40" s="28" t="str">
        <x:v>Planned</x:v>
      </x:c>
    </x:row>
    <x:row r="41">
      <x:c r="A41" s="28" t="str">
        <x:v>US038</x:v>
      </x:c>
      <x:c r="B41" s="28" t="str">
        <x:v>E13</x:v>
      </x:c>
      <x:c r="C41" s="28" t="str">
        <x:v>Project Manager</x:v>
      </x:c>
      <x:c r="D41" s="28" t="str">
        <x:v>map meeting updates to user stories</x:v>
      </x:c>
      <x:c r="E41" s="28" t="str">
        <x:v>so status updates are evidence-based</x:v>
      </x:c>
      <x:c r="F41" s="28" t="str">
        <x:v>S16</x:v>
      </x:c>
      <x:c r="G41" s="28" t="str">
        <x:v>High</x:v>
      </x:c>
      <x:c r="H41" s="28" t="str">
        <x:v>PM</x:v>
      </x:c>
      <x:c r="I41" s="28" t="str">
        <x:v>Meetings</x:v>
      </x:c>
      <x:c r="J41" s="28" t="str">
        <x:v>Mentioned stories are auto-linked to notes and status changes</x:v>
      </x:c>
      <x:c r="K41" s="28" t="str">
        <x:v>Planned</x:v>
      </x:c>
    </x:row>
    <x:row r="42">
      <x:c r="A42" s="28" t="str">
        <x:v>US039</x:v>
      </x:c>
      <x:c r="B42" s="28" t="str">
        <x:v>E13</x:v>
      </x:c>
      <x:c r="C42" s="28" t="str">
        <x:v>Project Manager</x:v>
      </x:c>
      <x:c r="D42" s="28" t="str">
        <x:v>extract risks from meetings</x:v>
      </x:c>
      <x:c r="E42" s="28" t="str">
        <x:v>so RAID logs stay current</x:v>
      </x:c>
      <x:c r="F42" s="28" t="str">
        <x:v>S16</x:v>
      </x:c>
      <x:c r="G42" s="28" t="str">
        <x:v>High</x:v>
      </x:c>
      <x:c r="H42" s="28" t="str">
        <x:v>PM</x:v>
      </x:c>
      <x:c r="I42" s="28" t="str">
        <x:v>Risk</x:v>
      </x:c>
      <x:c r="J42" s="28" t="str">
        <x:v>New risks are suggested with impact, probability and owner</x:v>
      </x:c>
      <x:c r="K42" s="28" t="str">
        <x:v>Planned</x:v>
      </x:c>
    </x:row>
    <x:row r="43">
      <x:c r="A43" s="28" t="str">
        <x:v>US040</x:v>
      </x:c>
      <x:c r="B43" s="28" t="str">
        <x:v>E14</x:v>
      </x:c>
      <x:c r="C43" s="28" t="str">
        <x:v>Sponsor</x:v>
      </x:c>
      <x:c r="D43" s="28" t="str">
        <x:v>receive a weekly executive progress card</x:v>
      </x:c>
      <x:c r="E43" s="28" t="str">
        <x:v>so I know status, risks and decisions needed</x:v>
      </x:c>
      <x:c r="F43" s="28" t="str">
        <x:v>S16</x:v>
      </x:c>
      <x:c r="G43" s="28" t="str">
        <x:v>High</x:v>
      </x:c>
      <x:c r="H43" s="28" t="str">
        <x:v>PM</x:v>
      </x:c>
      <x:c r="I43" s="28" t="str">
        <x:v>Reporting</x:v>
      </x:c>
      <x:c r="J43" s="28" t="str">
        <x:v>Report includes progress, blockers, budget, risks and asks</x:v>
      </x:c>
      <x:c r="K43" s="28" t="str">
        <x:v>Planned</x:v>
      </x:c>
    </x:row>
    <x:row r="44">
      <x:c r="A44" s="28" t="str">
        <x:v>US041</x:v>
      </x:c>
      <x:c r="B44" s="28" t="str">
        <x:v>E14</x:v>
      </x:c>
      <x:c r="C44" s="28" t="str">
        <x:v>Product Manager</x:v>
      </x:c>
      <x:c r="D44" s="28" t="str">
        <x:v>receive product progress metrics</x:v>
      </x:c>
      <x:c r="E44" s="28" t="str">
        <x:v>so I can manage value and adoption</x:v>
      </x:c>
      <x:c r="F44" s="28" t="str">
        <x:v>S15</x:v>
      </x:c>
      <x:c r="G44" s="28" t="str">
        <x:v>High</x:v>
      </x:c>
      <x:c r="H44" s="28" t="str">
        <x:v>Product Manager</x:v>
      </x:c>
      <x:c r="I44" s="28" t="str">
        <x:v>Reporting</x:v>
      </x:c>
      <x:c r="J44" s="28" t="str">
        <x:v>Report includes roadmap, feature readiness and product KPIs</x:v>
      </x:c>
      <x:c r="K44" s="28" t="str">
        <x:v>Planned</x:v>
      </x:c>
    </x:row>
    <x:row r="45">
      <x:c r="A45" s="28" t="str">
        <x:v>US042</x:v>
      </x:c>
      <x:c r="B45" s="28" t="str">
        <x:v>E14</x:v>
      </x:c>
      <x:c r="C45" s="28" t="str">
        <x:v>Engineering Lead</x:v>
      </x:c>
      <x:c r="D45" s="28" t="str">
        <x:v>receive engineering delivery metrics</x:v>
      </x:c>
      <x:c r="E45" s="28" t="str">
        <x:v>so I can manage throughput and quality</x:v>
      </x:c>
      <x:c r="F45" s="28" t="str">
        <x:v>S15</x:v>
      </x:c>
      <x:c r="G45" s="28" t="str">
        <x:v>Medium</x:v>
      </x:c>
      <x:c r="H45" s="28" t="str">
        <x:v>Engineering Lead</x:v>
      </x:c>
      <x:c r="I45" s="28" t="str">
        <x:v>Reporting</x:v>
      </x:c>
      <x:c r="J45" s="28" t="str">
        <x:v>Report includes cycle time, PRs, defects and test coverage</x:v>
      </x:c>
      <x:c r="K45" s="28" t="str">
        <x:v>Planned</x:v>
      </x:c>
    </x:row>
    <x:row r="46">
      <x:c r="A46" s="28" t="str">
        <x:v>US043</x:v>
      </x:c>
      <x:c r="B46" s="28" t="str">
        <x:v>E15</x:v>
      </x:c>
      <x:c r="C46" s="28" t="str">
        <x:v>PM</x:v>
      </x:c>
      <x:c r="D46" s="28" t="str">
        <x:v>track risks, assumptions, issues and dependencies</x:v>
      </x:c>
      <x:c r="E46" s="28" t="str">
        <x:v>so delivery confidence is transparent</x:v>
      </x:c>
      <x:c r="F46" s="28" t="str">
        <x:v>S15</x:v>
      </x:c>
      <x:c r="G46" s="28" t="str">
        <x:v>High</x:v>
      </x:c>
      <x:c r="H46" s="28" t="str">
        <x:v>PM</x:v>
      </x:c>
      <x:c r="I46" s="28" t="str">
        <x:v>PMO</x:v>
      </x:c>
      <x:c r="J46" s="28" t="str">
        <x:v>RAID items have owner, severity, due date and mitigation</x:v>
      </x:c>
      <x:c r="K46" s="28" t="str">
        <x:v>Planned</x:v>
      </x:c>
    </x:row>
    <x:row r="47">
      <x:c r="A47" s="28" t="str">
        <x:v>US044</x:v>
      </x:c>
      <x:c r="B47" s="28" t="str">
        <x:v>E15</x:v>
      </x:c>
      <x:c r="C47" s="28" t="str">
        <x:v>PM</x:v>
      </x:c>
      <x:c r="D47" s="28" t="str">
        <x:v>forecast delivery confidence</x:v>
      </x:c>
      <x:c r="E47" s="28" t="str">
        <x:v>so stakeholders can act before dates slip</x:v>
      </x:c>
      <x:c r="F47" s="28" t="str">
        <x:v>S15</x:v>
      </x:c>
      <x:c r="G47" s="28" t="str">
        <x:v>High</x:v>
      </x:c>
      <x:c r="H47" s="28" t="str">
        <x:v>PM</x:v>
      </x:c>
      <x:c r="I47" s="28" t="str">
        <x:v>PMO</x:v>
      </x:c>
      <x:c r="J47" s="28" t="str">
        <x:v>Forecast uses velocity, blockers, risk score and remaining scope</x:v>
      </x:c>
      <x:c r="K47" s="28" t="str">
        <x:v>Planned</x:v>
      </x:c>
    </x:row>
    <x:row r="48">
      <x:c r="A48" s="28" t="str">
        <x:v>US045</x:v>
      </x:c>
      <x:c r="B48" s="28" t="str">
        <x:v>E15</x:v>
      </x:c>
      <x:c r="C48" s="28" t="str">
        <x:v>Finance Lead</x:v>
      </x:c>
      <x:c r="D48" s="28" t="str">
        <x:v>track cost by module and phase</x:v>
      </x:c>
      <x:c r="E48" s="28" t="str">
        <x:v>so budget can be controlled</x:v>
      </x:c>
      <x:c r="F48" s="28" t="str">
        <x:v>S15</x:v>
      </x:c>
      <x:c r="G48" s="28" t="str">
        <x:v>Medium</x:v>
      </x:c>
      <x:c r="H48" s="28" t="str">
        <x:v>Finance</x:v>
      </x:c>
      <x:c r="I48" s="28" t="str">
        <x:v>Cost</x:v>
      </x:c>
      <x:c r="J48" s="28" t="str">
        <x:v>Costs map to role, tool, phase and monthly burn</x:v>
      </x:c>
      <x:c r="K48" s="28" t="str">
        <x:v>Planned</x:v>
      </x:c>
    </x:row>
    <x:row r="49">
      <x:c r="A49" s="28" t="str">
        <x:v>US046</x:v>
      </x:c>
      <x:c r="B49" s="28" t="str">
        <x:v>E16</x:v>
      </x:c>
      <x:c r="C49" s="28" t="str">
        <x:v>Product Manager</x:v>
      </x:c>
      <x:c r="D49" s="28" t="str">
        <x:v>capture user feedback after release</x:v>
      </x:c>
      <x:c r="E49" s="28" t="str">
        <x:v>so roadmap decisions reflect real usage</x:v>
      </x:c>
      <x:c r="F49" s="28" t="str">
        <x:v>S19</x:v>
      </x:c>
      <x:c r="G49" s="28" t="str">
        <x:v>Medium</x:v>
      </x:c>
      <x:c r="H49" s="28" t="str">
        <x:v>Product Manager</x:v>
      </x:c>
      <x:c r="I49" s="28" t="str">
        <x:v>Feedback</x:v>
      </x:c>
      <x:c r="J49" s="28" t="str">
        <x:v>Feedback is grouped by theme, persona and severity</x:v>
      </x:c>
      <x:c r="K49" s="28" t="str">
        <x:v>Planned</x:v>
      </x:c>
    </x:row>
    <x:row r="50">
      <x:c r="A50" s="28" t="str">
        <x:v>US047</x:v>
      </x:c>
      <x:c r="B50" s="28" t="str">
        <x:v>E16</x:v>
      </x:c>
      <x:c r="C50" s="28" t="str">
        <x:v>Data Analyst</x:v>
      </x:c>
      <x:c r="D50" s="28" t="str">
        <x:v>monitor product metrics</x:v>
      </x:c>
      <x:c r="E50" s="28" t="str">
        <x:v>so impact can be measured</x:v>
      </x:c>
      <x:c r="F50" s="28" t="str">
        <x:v>S19</x:v>
      </x:c>
      <x:c r="G50" s="28" t="str">
        <x:v>Medium</x:v>
      </x:c>
      <x:c r="H50" s="28" t="str">
        <x:v>Data Analyst</x:v>
      </x:c>
      <x:c r="I50" s="28" t="str">
        <x:v>Metrics</x:v>
      </x:c>
      <x:c r="J50" s="28" t="str">
        <x:v>Metrics include activation, adoption, retention and NPS</x:v>
      </x:c>
      <x:c r="K50" s="28" t="str">
        <x:v>Planned</x:v>
      </x:c>
    </x:row>
    <x:row r="51">
      <x:c r="A51" s="28" t="str">
        <x:v>US048</x:v>
      </x:c>
      <x:c r="B51" s="28" t="str">
        <x:v>E16</x:v>
      </x:c>
      <x:c r="C51" s="28" t="str">
        <x:v>Product Manager</x:v>
      </x:c>
      <x:c r="D51" s="28" t="str">
        <x:v>convert feedback into roadmap opportunities</x:v>
      </x:c>
      <x:c r="E51" s="28" t="str">
        <x:v>so the loop continuously improves the product</x:v>
      </x:c>
      <x:c r="F51" s="28" t="str">
        <x:v>S20</x:v>
      </x:c>
      <x:c r="G51" s="28" t="str">
        <x:v>High</x:v>
      </x:c>
      <x:c r="H51" s="28" t="str">
        <x:v>Product Manager</x:v>
      </x:c>
      <x:c r="I51" s="28" t="str">
        <x:v>Insights</x:v>
      </x:c>
      <x:c r="J51" s="28" t="str">
        <x:v>Opportunity has score, evidence and suggested next action</x:v>
      </x:c>
      <x:c r="K51" s="28" t="str">
        <x:v>Planned</x:v>
      </x:c>
    </x:row>
    <x:row r="52">
      <x:c r="A52" s="28" t="str">
        <x:v>US049</x:v>
      </x:c>
      <x:c r="B52" s="28" t="str">
        <x:v>E17</x:v>
      </x:c>
      <x:c r="C52" s="28" t="str">
        <x:v>Sponsor</x:v>
      </x:c>
      <x:c r="D52" s="28" t="str">
        <x:v>approve scope changes</x:v>
      </x:c>
      <x:c r="E52" s="28" t="str">
        <x:v>so delivery remains controlled</x:v>
      </x:c>
      <x:c r="F52" s="28" t="str">
        <x:v>S17</x:v>
      </x:c>
      <x:c r="G52" s="28" t="str">
        <x:v>Medium</x:v>
      </x:c>
      <x:c r="H52" s="28" t="str">
        <x:v>Sponsor</x:v>
      </x:c>
      <x:c r="I52" s="28" t="str">
        <x:v>Governance</x:v>
      </x:c>
      <x:c r="J52" s="28" t="str">
        <x:v>Change request includes impact, cost, risk and decision</x:v>
      </x:c>
      <x:c r="K52" s="28" t="str">
        <x:v>Planned</x:v>
      </x:c>
    </x:row>
    <x:row r="53">
      <x:c r="A53" s="28" t="str">
        <x:v>US050</x:v>
      </x:c>
      <x:c r="B53" s="28" t="str">
        <x:v>E17</x:v>
      </x:c>
      <x:c r="C53" s="28" t="str">
        <x:v>PM</x:v>
      </x:c>
      <x:c r="D53" s="28" t="str">
        <x:v>record decisions and approvals</x:v>
      </x:c>
      <x:c r="E53" s="28" t="str">
        <x:v>so governance history is auditable</x:v>
      </x:c>
      <x:c r="F53" s="28" t="str">
        <x:v>S17</x:v>
      </x:c>
      <x:c r="G53" s="28" t="str">
        <x:v>Medium</x:v>
      </x:c>
      <x:c r="H53" s="28" t="str">
        <x:v>PM</x:v>
      </x:c>
      <x:c r="I53" s="28" t="str">
        <x:v>Governance</x:v>
      </x:c>
      <x:c r="J53" s="28" t="str">
        <x:v>Decision log includes owner, date, context and outcome</x:v>
      </x:c>
      <x:c r="K53" s="28" t="str">
        <x:v>Planned</x:v>
      </x:c>
    </x:row>
    <x:row r="54">
      <x:c r="A54" s="28" t="str">
        <x:v>US051</x:v>
      </x:c>
      <x:c r="B54" s="28" t="str">
        <x:v>E17</x:v>
      </x:c>
      <x:c r="C54" s="28" t="str">
        <x:v>Compliance Lead</x:v>
      </x:c>
      <x:c r="D54" s="28" t="str">
        <x:v>export audit evidence</x:v>
      </x:c>
      <x:c r="E54" s="28" t="str">
        <x:v>so regulated teams can prove delivery control</x:v>
      </x:c>
      <x:c r="F54" s="28" t="str">
        <x:v>S17</x:v>
      </x:c>
      <x:c r="G54" s="28" t="str">
        <x:v>Low</x:v>
      </x:c>
      <x:c r="H54" s="28" t="str">
        <x:v>Compliance</x:v>
      </x:c>
      <x:c r="I54" s="28" t="str">
        <x:v>Governance</x:v>
      </x:c>
      <x:c r="J54" s="28" t="str">
        <x:v>Export includes requirements, tests, approvals and release evidence</x:v>
      </x:c>
      <x:c r="K54" s="28" t="str">
        <x:v>Planned</x:v>
      </x:c>
    </x:row>
    <x:row r="55">
      <x:c r="A55" s="28" t="str">
        <x:v>US052</x:v>
      </x:c>
      <x:c r="B55" s="28" t="str">
        <x:v>E18</x:v>
      </x:c>
      <x:c r="C55" s="28" t="str">
        <x:v>Engineering Lead</x:v>
      </x:c>
      <x:c r="D55" s="28" t="str">
        <x:v>prepare a release checklist</x:v>
      </x:c>
      <x:c r="E55" s="28" t="str">
        <x:v>so deployment risk is reduced</x:v>
      </x:c>
      <x:c r="F55" s="28" t="str">
        <x:v>S18</x:v>
      </x:c>
      <x:c r="G55" s="28" t="str">
        <x:v>Medium</x:v>
      </x:c>
      <x:c r="H55" s="28" t="str">
        <x:v>Engineering Lead</x:v>
      </x:c>
      <x:c r="I55" s="28" t="str">
        <x:v>Release</x:v>
      </x:c>
      <x:c r="J55" s="28" t="str">
        <x:v>Checklist includes QA pass, rollback, monitoring and communication</x:v>
      </x:c>
      <x:c r="K55" s="28" t="str">
        <x:v>Planned</x:v>
      </x:c>
    </x:row>
    <x:row r="56">
      <x:c r="A56" s="28" t="str">
        <x:v>US053</x:v>
      </x:c>
      <x:c r="B56" s="28" t="str">
        <x:v>E18</x:v>
      </x:c>
      <x:c r="C56" s="28" t="str">
        <x:v>PM</x:v>
      </x:c>
      <x:c r="D56" s="28" t="str">
        <x:v>monitor post-release incidents</x:v>
      </x:c>
      <x:c r="E56" s="28" t="str">
        <x:v>so product quality remains visible</x:v>
      </x:c>
      <x:c r="F56" s="28" t="str">
        <x:v>S18</x:v>
      </x:c>
      <x:c r="G56" s="28" t="str">
        <x:v>Medium</x:v>
      </x:c>
      <x:c r="H56" s="28" t="str">
        <x:v>PM</x:v>
      </x:c>
      <x:c r="I56" s="28" t="str">
        <x:v>Release</x:v>
      </x:c>
      <x:c r="J56" s="28" t="str">
        <x:v>Incidents link to release, stories and root cause</x:v>
      </x:c>
      <x:c r="K56" s="28" t="str">
        <x:v>Planned</x:v>
      </x:c>
    </x:row>
    <x:row r="57">
      <x:c r="A57" s="28" t="str">
        <x:v>US054</x:v>
      </x:c>
      <x:c r="B57" s="28" t="str">
        <x:v>E18</x:v>
      </x:c>
      <x:c r="C57" s="28" t="str">
        <x:v>PMO Lead</x:v>
      </x:c>
      <x:c r="D57" s="28" t="str">
        <x:v>view multi-project portfolio health</x:v>
      </x:c>
      <x:c r="E57" s="28" t="str">
        <x:v>so leadership can compare projects</x:v>
      </x:c>
      <x:c r="F57" s="28" t="str">
        <x:v>S21</x:v>
      </x:c>
      <x:c r="G57" s="28" t="str">
        <x:v>Low</x:v>
      </x:c>
      <x:c r="H57" s="28" t="str">
        <x:v>PMO</x:v>
      </x:c>
      <x:c r="I57" s="28" t="str">
        <x:v>Portfolio</x:v>
      </x:c>
      <x:c r="J57" s="28" t="str">
        <x:v>Portfolio dashboard shows cost, risk, value and delivery confidence</x:v>
      </x:c>
      <x:c r="K57" s="28" t="str">
        <x:v>Planned</x:v>
      </x:c>
    </x:row>
    <x:row r="58">
      <x:c r="A58" s="28" t="str">
        <x:v>US055</x:v>
      </x:c>
      <x:c r="B58" s="28" t="str">
        <x:v>E18</x:v>
      </x:c>
      <x:c r="C58" s="28" t="str">
        <x:v>Product Ops</x:v>
      </x:c>
      <x:c r="D58" s="28" t="str">
        <x:v>monitor documentation and diagram freshness</x:v>
      </x:c>
      <x:c r="E58" s="28" t="str">
        <x:v>so the system remains trusted</x:v>
      </x:c>
      <x:c r="F58" s="28" t="str">
        <x:v>S21</x:v>
      </x:c>
      <x:c r="G58" s="28" t="str">
        <x:v>Medium</x:v>
      </x:c>
      <x:c r="H58" s="28" t="str">
        <x:v>Product Ops</x:v>
      </x:c>
      <x:c r="I58" s="28" t="str">
        <x:v>Monitoring</x:v>
      </x:c>
      <x:c r="J58" s="28" t="str">
        <x:v>Alerts fire when docs or diagrams are stale after code changes</x:v>
      </x:c>
      <x:c r="K58" s="28" t="str">
        <x:v>Planned</x:v>
      </x:c>
    </x:row>
  </x:sheetData>
  <x:dataValidations count="2">
    <x:dataValidation type="list" allowBlank="1" showDropDown="0" sqref="G4:G300">
      <x:formula1>"Critical,High,Medium,Low"</x:formula1>
    </x:dataValidation>
    <x:dataValidation type="list" allowBlank="1" showDropDown="0" sqref="K4:K300">
      <x:formula1>"Planned,Ready,In Progress,Blocked,Done,Validated"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8" hidden="0" customWidth="1"/>
    <x:col min="4" max="4" width="18" hidden="0" customWidth="1"/>
    <x:col min="5" max="5" width="90" hidden="0" customWidth="1"/>
    <x:col min="6" max="6" width="14" hidden="0" customWidth="1"/>
    <x:col min="7" max="7" width="24" hidden="0" customWidth="1"/>
  </x:cols>
  <x:sheetData>
    <x:row r="1" ht="28" customHeight="1">
      <x:c r="A1" s="20" t="str">
        <x:v>Acceptance Criteria Library Linked to User Stories</x:v>
      </x:c>
      <x:c r="B1" s="7" t="str"/>
      <x:c r="C1" s="7" t="str"/>
      <x:c r="D1" s="7" t="str"/>
      <x:c r="E1" s="7" t="str"/>
      <x:c r="F1" s="7" t="str"/>
      <x:c r="G1" s="7" t="str"/>
    </x:row>
    <x:row r="3" ht="34" customHeight="1">
      <x:c r="A3" s="26" t="str">
        <x:v>Story ID</x:v>
      </x:c>
      <x:c r="B3" s="26" t="str">
        <x:v>Epic ID</x:v>
      </x:c>
      <x:c r="C3" s="26" t="str">
        <x:v>AC ID</x:v>
      </x:c>
      <x:c r="D3" s="26" t="str">
        <x:v>Type</x:v>
      </x:c>
      <x:c r="E3" s="26" t="str">
        <x:v>Acceptance Criteria</x:v>
      </x:c>
      <x:c r="F3" s="26" t="str">
        <x:v>Priority</x:v>
      </x:c>
      <x:c r="G3" s="26" t="str">
        <x:v>Responsible</x:v>
      </x:c>
    </x:row>
    <x:row r="4">
      <x:c r="A4" s="28" t="str">
        <x:v>US001</x:v>
      </x:c>
      <x:c r="B4" s="28" t="str">
        <x:v>E01</x:v>
      </x:c>
      <x:c r="C4" s="28" t="str">
        <x:v>AC1</x:v>
      </x:c>
      <x:c r="D4" s="28" t="str">
        <x:v>Functional</x:v>
      </x:c>
      <x:c r="E4" s="28" t="str">
        <x:v>Given the user is in the Idea Intake module, when they enter a raw business idea, then the system completes the action and records the result.</x:v>
      </x:c>
      <x:c r="F4" s="28" t="str">
        <x:v>Must Pass</x:v>
      </x:c>
      <x:c r="G4" s="28" t="str">
        <x:v>Product Manager</x:v>
      </x:c>
    </x:row>
    <x:row r="5">
      <x:c r="A5" s="28" t="str">
        <x:v>US001</x:v>
      </x:c>
      <x:c r="B5" s="28" t="str">
        <x:v>E01</x:v>
      </x:c>
      <x:c r="C5" s="28" t="str">
        <x:v>AC2</x:v>
      </x:c>
      <x:c r="D5" s="28" t="str">
        <x:v>Traceability</x:v>
      </x:c>
      <x:c r="E5" s="28" t="str">
        <x:v>The action must be linked to the mapped step S01, epic E01, story US001, owner and timestamp.</x:v>
      </x:c>
      <x:c r="F5" s="28" t="str">
        <x:v>Must Pass</x:v>
      </x:c>
      <x:c r="G5" s="28" t="str">
        <x:v>Product Manager</x:v>
      </x:c>
    </x:row>
    <x:row r="6">
      <x:c r="A6" s="28" t="str">
        <x:v>US001</x:v>
      </x:c>
      <x:c r="B6" s="28" t="str">
        <x:v>E01</x:v>
      </x:c>
      <x:c r="C6" s="28" t="str">
        <x:v>AC3</x:v>
      </x:c>
      <x:c r="D6" s="28" t="str">
        <x:v>Quality / UX</x:v>
      </x:c>
      <x:c r="E6" s="28" t="str">
        <x:v>The interface must show clear status, errors and next action without requiring the user to search another tool.</x:v>
      </x:c>
      <x:c r="F6" s="28" t="str">
        <x:v>Should Pass</x:v>
      </x:c>
      <x:c r="G6" s="28" t="str">
        <x:v>Product Manager</x:v>
      </x:c>
    </x:row>
    <x:row r="7">
      <x:c r="A7" s="28" t="str">
        <x:v>US001</x:v>
      </x:c>
      <x:c r="B7" s="28" t="str">
        <x:v>E01</x:v>
      </x:c>
      <x:c r="C7" s="28" t="str">
        <x:v>AC4</x:v>
      </x:c>
      <x:c r="D7" s="28" t="str">
        <x:v>Security / Audit</x:v>
      </x:c>
      <x:c r="E7" s="28" t="str">
        <x:v>Role-based access and audit log entry must be applied for create, update and approval actions.</x:v>
      </x:c>
      <x:c r="F7" s="28" t="str">
        <x:v>Must Pass</x:v>
      </x:c>
      <x:c r="G7" s="28" t="str">
        <x:v>Security / PMO</x:v>
      </x:c>
    </x:row>
    <x:row r="8">
      <x:c r="A8" s="28" t="str">
        <x:v>US002</x:v>
      </x:c>
      <x:c r="B8" s="28" t="str">
        <x:v>E01</x:v>
      </x:c>
      <x:c r="C8" s="28" t="str">
        <x:v>AC1</x:v>
      </x:c>
      <x:c r="D8" s="28" t="str">
        <x:v>Functional</x:v>
      </x:c>
      <x:c r="E8" s="28" t="str">
        <x:v>Given the user is in the Brainstorming module, when they ask ai to generate brainstorming options, then the system completes the action and records the result.</x:v>
      </x:c>
      <x:c r="F8" s="28" t="str">
        <x:v>Must Pass</x:v>
      </x:c>
      <x:c r="G8" s="28" t="str">
        <x:v>Product Manager</x:v>
      </x:c>
    </x:row>
    <x:row r="9">
      <x:c r="A9" s="28" t="str">
        <x:v>US002</x:v>
      </x:c>
      <x:c r="B9" s="28" t="str">
        <x:v>E01</x:v>
      </x:c>
      <x:c r="C9" s="28" t="str">
        <x:v>AC2</x:v>
      </x:c>
      <x:c r="D9" s="28" t="str">
        <x:v>Traceability</x:v>
      </x:c>
      <x:c r="E9" s="28" t="str">
        <x:v>The action must be linked to the mapped step S02, epic E01, story US002, owner and timestamp.</x:v>
      </x:c>
      <x:c r="F9" s="28" t="str">
        <x:v>Must Pass</x:v>
      </x:c>
      <x:c r="G9" s="28" t="str">
        <x:v>Product Manager</x:v>
      </x:c>
    </x:row>
    <x:row r="10">
      <x:c r="A10" s="28" t="str">
        <x:v>US002</x:v>
      </x:c>
      <x:c r="B10" s="28" t="str">
        <x:v>E01</x:v>
      </x:c>
      <x:c r="C10" s="28" t="str">
        <x:v>AC3</x:v>
      </x:c>
      <x:c r="D10" s="28" t="str">
        <x:v>Quality / UX</x:v>
      </x:c>
      <x:c r="E10" s="28" t="str">
        <x:v>The interface must show clear status, errors and next action without requiring the user to search another tool.</x:v>
      </x:c>
      <x:c r="F10" s="28" t="str">
        <x:v>Should Pass</x:v>
      </x:c>
      <x:c r="G10" s="28" t="str">
        <x:v>Product Manager</x:v>
      </x:c>
    </x:row>
    <x:row r="11">
      <x:c r="A11" s="28" t="str">
        <x:v>US002</x:v>
      </x:c>
      <x:c r="B11" s="28" t="str">
        <x:v>E01</x:v>
      </x:c>
      <x:c r="C11" s="28" t="str">
        <x:v>AC4</x:v>
      </x:c>
      <x:c r="D11" s="28" t="str">
        <x:v>Security / Audit</x:v>
      </x:c>
      <x:c r="E11" s="28" t="str">
        <x:v>Role-based access and audit log entry must be applied for create, update and approval actions.</x:v>
      </x:c>
      <x:c r="F11" s="28" t="str">
        <x:v>Must Pass</x:v>
      </x:c>
      <x:c r="G11" s="28" t="str">
        <x:v>Security / PMO</x:v>
      </x:c>
    </x:row>
    <x:row r="12">
      <x:c r="A12" s="28" t="str">
        <x:v>US003</x:v>
      </x:c>
      <x:c r="B12" s="28" t="str">
        <x:v>E01</x:v>
      </x:c>
      <x:c r="C12" s="28" t="str">
        <x:v>AC1</x:v>
      </x:c>
      <x:c r="D12" s="28" t="str">
        <x:v>Functional</x:v>
      </x:c>
      <x:c r="E12" s="28" t="str">
        <x:v>Given the user is in the Decision Log module, when they save rejected ideas and rationale, then the system completes the action and records the result.</x:v>
      </x:c>
      <x:c r="F12" s="28" t="str">
        <x:v>Must Pass</x:v>
      </x:c>
      <x:c r="G12" s="28" t="str">
        <x:v>Product Manager</x:v>
      </x:c>
    </x:row>
    <x:row r="13">
      <x:c r="A13" s="28" t="str">
        <x:v>US003</x:v>
      </x:c>
      <x:c r="B13" s="28" t="str">
        <x:v>E01</x:v>
      </x:c>
      <x:c r="C13" s="28" t="str">
        <x:v>AC2</x:v>
      </x:c>
      <x:c r="D13" s="28" t="str">
        <x:v>Traceability</x:v>
      </x:c>
      <x:c r="E13" s="28" t="str">
        <x:v>The action must be linked to the mapped step S02, epic E01, story US003, owner and timestamp.</x:v>
      </x:c>
      <x:c r="F13" s="28" t="str">
        <x:v>Must Pass</x:v>
      </x:c>
      <x:c r="G13" s="28" t="str">
        <x:v>Product Manager</x:v>
      </x:c>
    </x:row>
    <x:row r="14">
      <x:c r="A14" s="28" t="str">
        <x:v>US003</x:v>
      </x:c>
      <x:c r="B14" s="28" t="str">
        <x:v>E01</x:v>
      </x:c>
      <x:c r="C14" s="28" t="str">
        <x:v>AC3</x:v>
      </x:c>
      <x:c r="D14" s="28" t="str">
        <x:v>Quality / UX</x:v>
      </x:c>
      <x:c r="E14" s="28" t="str">
        <x:v>The interface must show clear status, errors and next action without requiring the user to search another tool.</x:v>
      </x:c>
      <x:c r="F14" s="28" t="str">
        <x:v>Should Pass</x:v>
      </x:c>
      <x:c r="G14" s="28" t="str">
        <x:v>Product Manager</x:v>
      </x:c>
    </x:row>
    <x:row r="15">
      <x:c r="A15" s="28" t="str">
        <x:v>US004</x:v>
      </x:c>
      <x:c r="B15" s="28" t="str">
        <x:v>E02</x:v>
      </x:c>
      <x:c r="C15" s="28" t="str">
        <x:v>AC1</x:v>
      </x:c>
      <x:c r="D15" s="28" t="str">
        <x:v>Functional</x:v>
      </x:c>
      <x:c r="E15" s="28" t="str">
        <x:v>Given the user is in the Discovery module, when they generate user personas from the idea, then the system completes the action and records the result.</x:v>
      </x:c>
      <x:c r="F15" s="28" t="str">
        <x:v>Must Pass</x:v>
      </x:c>
      <x:c r="G15" s="28" t="str">
        <x:v>BA</x:v>
      </x:c>
    </x:row>
    <x:row r="16">
      <x:c r="A16" s="28" t="str">
        <x:v>US004</x:v>
      </x:c>
      <x:c r="B16" s="28" t="str">
        <x:v>E02</x:v>
      </x:c>
      <x:c r="C16" s="28" t="str">
        <x:v>AC2</x:v>
      </x:c>
      <x:c r="D16" s="28" t="str">
        <x:v>Traceability</x:v>
      </x:c>
      <x:c r="E16" s="28" t="str">
        <x:v>The action must be linked to the mapped step S03, epic E02, story US004, owner and timestamp.</x:v>
      </x:c>
      <x:c r="F16" s="28" t="str">
        <x:v>Must Pass</x:v>
      </x:c>
      <x:c r="G16" s="28" t="str">
        <x:v>BA</x:v>
      </x:c>
    </x:row>
    <x:row r="17">
      <x:c r="A17" s="28" t="str">
        <x:v>US004</x:v>
      </x:c>
      <x:c r="B17" s="28" t="str">
        <x:v>E02</x:v>
      </x:c>
      <x:c r="C17" s="28" t="str">
        <x:v>AC3</x:v>
      </x:c>
      <x:c r="D17" s="28" t="str">
        <x:v>Quality / UX</x:v>
      </x:c>
      <x:c r="E17" s="28" t="str">
        <x:v>The interface must show clear status, errors and next action without requiring the user to search another tool.</x:v>
      </x:c>
      <x:c r="F17" s="28" t="str">
        <x:v>Should Pass</x:v>
      </x:c>
      <x:c r="G17" s="28" t="str">
        <x:v>BA</x:v>
      </x:c>
    </x:row>
    <x:row r="18">
      <x:c r="A18" s="28" t="str">
        <x:v>US004</x:v>
      </x:c>
      <x:c r="B18" s="28" t="str">
        <x:v>E02</x:v>
      </x:c>
      <x:c r="C18" s="28" t="str">
        <x:v>AC4</x:v>
      </x:c>
      <x:c r="D18" s="28" t="str">
        <x:v>Security / Audit</x:v>
      </x:c>
      <x:c r="E18" s="28" t="str">
        <x:v>Role-based access and audit log entry must be applied for create, update and approval actions.</x:v>
      </x:c>
      <x:c r="F18" s="28" t="str">
        <x:v>Must Pass</x:v>
      </x:c>
      <x:c r="G18" s="28" t="str">
        <x:v>Security / PMO</x:v>
      </x:c>
    </x:row>
    <x:row r="19">
      <x:c r="A19" s="28" t="str">
        <x:v>US005</x:v>
      </x:c>
      <x:c r="B19" s="28" t="str">
        <x:v>E02</x:v>
      </x:c>
      <x:c r="C19" s="28" t="str">
        <x:v>AC1</x:v>
      </x:c>
      <x:c r="D19" s="28" t="str">
        <x:v>Functional</x:v>
      </x:c>
      <x:c r="E19" s="28" t="str">
        <x:v>Given the user is in the Discovery module, when they define a measurable problem statement, then the system completes the action and records the result.</x:v>
      </x:c>
      <x:c r="F19" s="28" t="str">
        <x:v>Must Pass</x:v>
      </x:c>
      <x:c r="G19" s="28" t="str">
        <x:v>Product Manager</x:v>
      </x:c>
    </x:row>
    <x:row r="20">
      <x:c r="A20" s="28" t="str">
        <x:v>US005</x:v>
      </x:c>
      <x:c r="B20" s="28" t="str">
        <x:v>E02</x:v>
      </x:c>
      <x:c r="C20" s="28" t="str">
        <x:v>AC2</x:v>
      </x:c>
      <x:c r="D20" s="28" t="str">
        <x:v>Traceability</x:v>
      </x:c>
      <x:c r="E20" s="28" t="str">
        <x:v>The action must be linked to the mapped step S03, epic E02, story US005, owner and timestamp.</x:v>
      </x:c>
      <x:c r="F20" s="28" t="str">
        <x:v>Must Pass</x:v>
      </x:c>
      <x:c r="G20" s="28" t="str">
        <x:v>Product Manager</x:v>
      </x:c>
    </x:row>
    <x:row r="21">
      <x:c r="A21" s="28" t="str">
        <x:v>US005</x:v>
      </x:c>
      <x:c r="B21" s="28" t="str">
        <x:v>E02</x:v>
      </x:c>
      <x:c r="C21" s="28" t="str">
        <x:v>AC3</x:v>
      </x:c>
      <x:c r="D21" s="28" t="str">
        <x:v>Quality / UX</x:v>
      </x:c>
      <x:c r="E21" s="28" t="str">
        <x:v>The interface must show clear status, errors and next action without requiring the user to search another tool.</x:v>
      </x:c>
      <x:c r="F21" s="28" t="str">
        <x:v>Should Pass</x:v>
      </x:c>
      <x:c r="G21" s="28" t="str">
        <x:v>Product Manager</x:v>
      </x:c>
    </x:row>
    <x:row r="22">
      <x:c r="A22" s="28" t="str">
        <x:v>US005</x:v>
      </x:c>
      <x:c r="B22" s="28" t="str">
        <x:v>E02</x:v>
      </x:c>
      <x:c r="C22" s="28" t="str">
        <x:v>AC4</x:v>
      </x:c>
      <x:c r="D22" s="28" t="str">
        <x:v>Security / Audit</x:v>
      </x:c>
      <x:c r="E22" s="28" t="str">
        <x:v>Role-based access and audit log entry must be applied for create, update and approval actions.</x:v>
      </x:c>
      <x:c r="F22" s="28" t="str">
        <x:v>Must Pass</x:v>
      </x:c>
      <x:c r="G22" s="28" t="str">
        <x:v>Security / PMO</x:v>
      </x:c>
    </x:row>
    <x:row r="23">
      <x:c r="A23" s="28" t="str">
        <x:v>US006</x:v>
      </x:c>
      <x:c r="B23" s="28" t="str">
        <x:v>E02</x:v>
      </x:c>
      <x:c r="C23" s="28" t="str">
        <x:v>AC1</x:v>
      </x:c>
      <x:c r="D23" s="28" t="str">
        <x:v>Functional</x:v>
      </x:c>
      <x:c r="E23" s="28" t="str">
        <x:v>Given the user is in the Discovery module, when they see usp and competitor differentiation, then the system completes the action and records the result.</x:v>
      </x:c>
      <x:c r="F23" s="28" t="str">
        <x:v>Must Pass</x:v>
      </x:c>
      <x:c r="G23" s="28" t="str">
        <x:v>Product Manager</x:v>
      </x:c>
    </x:row>
    <x:row r="24">
      <x:c r="A24" s="28" t="str">
        <x:v>US006</x:v>
      </x:c>
      <x:c r="B24" s="28" t="str">
        <x:v>E02</x:v>
      </x:c>
      <x:c r="C24" s="28" t="str">
        <x:v>AC2</x:v>
      </x:c>
      <x:c r="D24" s="28" t="str">
        <x:v>Traceability</x:v>
      </x:c>
      <x:c r="E24" s="28" t="str">
        <x:v>The action must be linked to the mapped step S03, epic E02, story US006, owner and timestamp.</x:v>
      </x:c>
      <x:c r="F24" s="28" t="str">
        <x:v>Must Pass</x:v>
      </x:c>
      <x:c r="G24" s="28" t="str">
        <x:v>Product Manager</x:v>
      </x:c>
    </x:row>
    <x:row r="25">
      <x:c r="A25" s="28" t="str">
        <x:v>US006</x:v>
      </x:c>
      <x:c r="B25" s="28" t="str">
        <x:v>E02</x:v>
      </x:c>
      <x:c r="C25" s="28" t="str">
        <x:v>AC3</x:v>
      </x:c>
      <x:c r="D25" s="28" t="str">
        <x:v>Quality / UX</x:v>
      </x:c>
      <x:c r="E25" s="28" t="str">
        <x:v>The interface must show clear status, errors and next action without requiring the user to search another tool.</x:v>
      </x:c>
      <x:c r="F25" s="28" t="str">
        <x:v>Should Pass</x:v>
      </x:c>
      <x:c r="G25" s="28" t="str">
        <x:v>Product Manager</x:v>
      </x:c>
    </x:row>
    <x:row r="26">
      <x:c r="A26" s="28" t="str">
        <x:v>US007</x:v>
      </x:c>
      <x:c r="B26" s="28" t="str">
        <x:v>E03</x:v>
      </x:c>
      <x:c r="C26" s="28" t="str">
        <x:v>AC1</x:v>
      </x:c>
      <x:c r="D26" s="28" t="str">
        <x:v>Functional</x:v>
      </x:c>
      <x:c r="E26" s="28" t="str">
        <x:v>Given the user is in the Strategy module, when they generate a product vision and mvp scope, then the system completes the action and records the result.</x:v>
      </x:c>
      <x:c r="F26" s="28" t="str">
        <x:v>Must Pass</x:v>
      </x:c>
      <x:c r="G26" s="28" t="str">
        <x:v>Product Manager</x:v>
      </x:c>
    </x:row>
    <x:row r="27">
      <x:c r="A27" s="28" t="str">
        <x:v>US007</x:v>
      </x:c>
      <x:c r="B27" s="28" t="str">
        <x:v>E03</x:v>
      </x:c>
      <x:c r="C27" s="28" t="str">
        <x:v>AC2</x:v>
      </x:c>
      <x:c r="D27" s="28" t="str">
        <x:v>Traceability</x:v>
      </x:c>
      <x:c r="E27" s="28" t="str">
        <x:v>The action must be linked to the mapped step S04, epic E03, story US007, owner and timestamp.</x:v>
      </x:c>
      <x:c r="F27" s="28" t="str">
        <x:v>Must Pass</x:v>
      </x:c>
      <x:c r="G27" s="28" t="str">
        <x:v>Product Manager</x:v>
      </x:c>
    </x:row>
    <x:row r="28">
      <x:c r="A28" s="28" t="str">
        <x:v>US007</x:v>
      </x:c>
      <x:c r="B28" s="28" t="str">
        <x:v>E03</x:v>
      </x:c>
      <x:c r="C28" s="28" t="str">
        <x:v>AC3</x:v>
      </x:c>
      <x:c r="D28" s="28" t="str">
        <x:v>Quality / UX</x:v>
      </x:c>
      <x:c r="E28" s="28" t="str">
        <x:v>The interface must show clear status, errors and next action without requiring the user to search another tool.</x:v>
      </x:c>
      <x:c r="F28" s="28" t="str">
        <x:v>Should Pass</x:v>
      </x:c>
      <x:c r="G28" s="28" t="str">
        <x:v>Product Manager</x:v>
      </x:c>
    </x:row>
    <x:row r="29">
      <x:c r="A29" s="28" t="str">
        <x:v>US007</x:v>
      </x:c>
      <x:c r="B29" s="28" t="str">
        <x:v>E03</x:v>
      </x:c>
      <x:c r="C29" s="28" t="str">
        <x:v>AC4</x:v>
      </x:c>
      <x:c r="D29" s="28" t="str">
        <x:v>Security / Audit</x:v>
      </x:c>
      <x:c r="E29" s="28" t="str">
        <x:v>Role-based access and audit log entry must be applied for create, update and approval actions.</x:v>
      </x:c>
      <x:c r="F29" s="28" t="str">
        <x:v>Must Pass</x:v>
      </x:c>
      <x:c r="G29" s="28" t="str">
        <x:v>Security / PMO</x:v>
      </x:c>
    </x:row>
    <x:row r="30">
      <x:c r="A30" s="28" t="str">
        <x:v>US008</x:v>
      </x:c>
      <x:c r="B30" s="28" t="str">
        <x:v>E03</x:v>
      </x:c>
      <x:c r="C30" s="28" t="str">
        <x:v>AC1</x:v>
      </x:c>
      <x:c r="D30" s="28" t="str">
        <x:v>Functional</x:v>
      </x:c>
      <x:c r="E30" s="28" t="str">
        <x:v>Given the user is in the Prioritisation module, when they prioritise features using rice or moscow, then the system completes the action and records the result.</x:v>
      </x:c>
      <x:c r="F30" s="28" t="str">
        <x:v>Must Pass</x:v>
      </x:c>
      <x:c r="G30" s="28" t="str">
        <x:v>Product Manager</x:v>
      </x:c>
    </x:row>
    <x:row r="31">
      <x:c r="A31" s="28" t="str">
        <x:v>US008</x:v>
      </x:c>
      <x:c r="B31" s="28" t="str">
        <x:v>E03</x:v>
      </x:c>
      <x:c r="C31" s="28" t="str">
        <x:v>AC2</x:v>
      </x:c>
      <x:c r="D31" s="28" t="str">
        <x:v>Traceability</x:v>
      </x:c>
      <x:c r="E31" s="28" t="str">
        <x:v>The action must be linked to the mapped step S04, epic E03, story US008, owner and timestamp.</x:v>
      </x:c>
      <x:c r="F31" s="28" t="str">
        <x:v>Must Pass</x:v>
      </x:c>
      <x:c r="G31" s="28" t="str">
        <x:v>Product Manager</x:v>
      </x:c>
    </x:row>
    <x:row r="32">
      <x:c r="A32" s="28" t="str">
        <x:v>US008</x:v>
      </x:c>
      <x:c r="B32" s="28" t="str">
        <x:v>E03</x:v>
      </x:c>
      <x:c r="C32" s="28" t="str">
        <x:v>AC3</x:v>
      </x:c>
      <x:c r="D32" s="28" t="str">
        <x:v>Quality / UX</x:v>
      </x:c>
      <x:c r="E32" s="28" t="str">
        <x:v>The interface must show clear status, errors and next action without requiring the user to search another tool.</x:v>
      </x:c>
      <x:c r="F32" s="28" t="str">
        <x:v>Should Pass</x:v>
      </x:c>
      <x:c r="G32" s="28" t="str">
        <x:v>Product Manager</x:v>
      </x:c>
    </x:row>
    <x:row r="33">
      <x:c r="A33" s="28" t="str">
        <x:v>US008</x:v>
      </x:c>
      <x:c r="B33" s="28" t="str">
        <x:v>E03</x:v>
      </x:c>
      <x:c r="C33" s="28" t="str">
        <x:v>AC4</x:v>
      </x:c>
      <x:c r="D33" s="28" t="str">
        <x:v>Security / Audit</x:v>
      </x:c>
      <x:c r="E33" s="28" t="str">
        <x:v>Role-based access and audit log entry must be applied for create, update and approval actions.</x:v>
      </x:c>
      <x:c r="F33" s="28" t="str">
        <x:v>Must Pass</x:v>
      </x:c>
      <x:c r="G33" s="28" t="str">
        <x:v>Security / PMO</x:v>
      </x:c>
    </x:row>
    <x:row r="34">
      <x:c r="A34" s="28" t="str">
        <x:v>US009</x:v>
      </x:c>
      <x:c r="B34" s="28" t="str">
        <x:v>E03</x:v>
      </x:c>
      <x:c r="C34" s="28" t="str">
        <x:v>AC1</x:v>
      </x:c>
      <x:c r="D34" s="28" t="str">
        <x:v>Functional</x:v>
      </x:c>
      <x:c r="E34" s="28" t="str">
        <x:v>Given the user is in the Roadmap module, when they review roadmap options, then the system completes the action and records the result.</x:v>
      </x:c>
      <x:c r="F34" s="28" t="str">
        <x:v>Must Pass</x:v>
      </x:c>
      <x:c r="G34" s="28" t="str">
        <x:v>Sponsor</x:v>
      </x:c>
    </x:row>
    <x:row r="35">
      <x:c r="A35" s="28" t="str">
        <x:v>US009</x:v>
      </x:c>
      <x:c r="B35" s="28" t="str">
        <x:v>E03</x:v>
      </x:c>
      <x:c r="C35" s="28" t="str">
        <x:v>AC2</x:v>
      </x:c>
      <x:c r="D35" s="28" t="str">
        <x:v>Traceability</x:v>
      </x:c>
      <x:c r="E35" s="28" t="str">
        <x:v>The action must be linked to the mapped step S04, epic E03, story US009, owner and timestamp.</x:v>
      </x:c>
      <x:c r="F35" s="28" t="str">
        <x:v>Must Pass</x:v>
      </x:c>
      <x:c r="G35" s="28" t="str">
        <x:v>Sponsor</x:v>
      </x:c>
    </x:row>
    <x:row r="36">
      <x:c r="A36" s="28" t="str">
        <x:v>US009</x:v>
      </x:c>
      <x:c r="B36" s="28" t="str">
        <x:v>E03</x:v>
      </x:c>
      <x:c r="C36" s="28" t="str">
        <x:v>AC3</x:v>
      </x:c>
      <x:c r="D36" s="28" t="str">
        <x:v>Quality / UX</x:v>
      </x:c>
      <x:c r="E36" s="28" t="str">
        <x:v>The interface must show clear status, errors and next action without requiring the user to search another tool.</x:v>
      </x:c>
      <x:c r="F36" s="28" t="str">
        <x:v>Should Pass</x:v>
      </x:c>
      <x:c r="G36" s="28" t="str">
        <x:v>Sponsor</x:v>
      </x:c>
    </x:row>
    <x:row r="37">
      <x:c r="A37" s="28" t="str">
        <x:v>US010</x:v>
      </x:c>
      <x:c r="B37" s="28" t="str">
        <x:v>E04</x:v>
      </x:c>
      <x:c r="C37" s="28" t="str">
        <x:v>AC1</x:v>
      </x:c>
      <x:c r="D37" s="28" t="str">
        <x:v>Functional</x:v>
      </x:c>
      <x:c r="E37" s="28" t="str">
        <x:v>Given the user is in the Requirements module, when they generate a brd from strategy, then the system completes the action and records the result.</x:v>
      </x:c>
      <x:c r="F37" s="28" t="str">
        <x:v>Must Pass</x:v>
      </x:c>
      <x:c r="G37" s="28" t="str">
        <x:v>BA</x:v>
      </x:c>
    </x:row>
    <x:row r="38">
      <x:c r="A38" s="28" t="str">
        <x:v>US010</x:v>
      </x:c>
      <x:c r="B38" s="28" t="str">
        <x:v>E04</x:v>
      </x:c>
      <x:c r="C38" s="28" t="str">
        <x:v>AC2</x:v>
      </x:c>
      <x:c r="D38" s="28" t="str">
        <x:v>Traceability</x:v>
      </x:c>
      <x:c r="E38" s="28" t="str">
        <x:v>The action must be linked to the mapped step S05, epic E04, story US010, owner and timestamp.</x:v>
      </x:c>
      <x:c r="F38" s="28" t="str">
        <x:v>Must Pass</x:v>
      </x:c>
      <x:c r="G38" s="28" t="str">
        <x:v>BA</x:v>
      </x:c>
    </x:row>
    <x:row r="39">
      <x:c r="A39" s="28" t="str">
        <x:v>US010</x:v>
      </x:c>
      <x:c r="B39" s="28" t="str">
        <x:v>E04</x:v>
      </x:c>
      <x:c r="C39" s="28" t="str">
        <x:v>AC3</x:v>
      </x:c>
      <x:c r="D39" s="28" t="str">
        <x:v>Quality / UX</x:v>
      </x:c>
      <x:c r="E39" s="28" t="str">
        <x:v>The interface must show clear status, errors and next action without requiring the user to search another tool.</x:v>
      </x:c>
      <x:c r="F39" s="28" t="str">
        <x:v>Should Pass</x:v>
      </x:c>
      <x:c r="G39" s="28" t="str">
        <x:v>BA</x:v>
      </x:c>
    </x:row>
    <x:row r="40">
      <x:c r="A40" s="28" t="str">
        <x:v>US010</x:v>
      </x:c>
      <x:c r="B40" s="28" t="str">
        <x:v>E04</x:v>
      </x:c>
      <x:c r="C40" s="28" t="str">
        <x:v>AC4</x:v>
      </x:c>
      <x:c r="D40" s="28" t="str">
        <x:v>Security / Audit</x:v>
      </x:c>
      <x:c r="E40" s="28" t="str">
        <x:v>Role-based access and audit log entry must be applied for create, update and approval actions.</x:v>
      </x:c>
      <x:c r="F40" s="28" t="str">
        <x:v>Must Pass</x:v>
      </x:c>
      <x:c r="G40" s="28" t="str">
        <x:v>Security / PMO</x:v>
      </x:c>
    </x:row>
    <x:row r="41">
      <x:c r="A41" s="28" t="str">
        <x:v>US011</x:v>
      </x:c>
      <x:c r="B41" s="28" t="str">
        <x:v>E04</x:v>
      </x:c>
      <x:c r="C41" s="28" t="str">
        <x:v>AC1</x:v>
      </x:c>
      <x:c r="D41" s="28" t="str">
        <x:v>Functional</x:v>
      </x:c>
      <x:c r="E41" s="28" t="str">
        <x:v>Given the user is in the Requirements module, when they generate a prd from approved scope, then the system completes the action and records the result.</x:v>
      </x:c>
      <x:c r="F41" s="28" t="str">
        <x:v>Must Pass</x:v>
      </x:c>
      <x:c r="G41" s="28" t="str">
        <x:v>Product Manager</x:v>
      </x:c>
    </x:row>
    <x:row r="42">
      <x:c r="A42" s="28" t="str">
        <x:v>US011</x:v>
      </x:c>
      <x:c r="B42" s="28" t="str">
        <x:v>E04</x:v>
      </x:c>
      <x:c r="C42" s="28" t="str">
        <x:v>AC2</x:v>
      </x:c>
      <x:c r="D42" s="28" t="str">
        <x:v>Traceability</x:v>
      </x:c>
      <x:c r="E42" s="28" t="str">
        <x:v>The action must be linked to the mapped step S05, epic E04, story US011, owner and timestamp.</x:v>
      </x:c>
      <x:c r="F42" s="28" t="str">
        <x:v>Must Pass</x:v>
      </x:c>
      <x:c r="G42" s="28" t="str">
        <x:v>Product Manager</x:v>
      </x:c>
    </x:row>
    <x:row r="43">
      <x:c r="A43" s="28" t="str">
        <x:v>US011</x:v>
      </x:c>
      <x:c r="B43" s="28" t="str">
        <x:v>E04</x:v>
      </x:c>
      <x:c r="C43" s="28" t="str">
        <x:v>AC3</x:v>
      </x:c>
      <x:c r="D43" s="28" t="str">
        <x:v>Quality / UX</x:v>
      </x:c>
      <x:c r="E43" s="28" t="str">
        <x:v>The interface must show clear status, errors and next action without requiring the user to search another tool.</x:v>
      </x:c>
      <x:c r="F43" s="28" t="str">
        <x:v>Should Pass</x:v>
      </x:c>
      <x:c r="G43" s="28" t="str">
        <x:v>Product Manager</x:v>
      </x:c>
    </x:row>
    <x:row r="44">
      <x:c r="A44" s="28" t="str">
        <x:v>US011</x:v>
      </x:c>
      <x:c r="B44" s="28" t="str">
        <x:v>E04</x:v>
      </x:c>
      <x:c r="C44" s="28" t="str">
        <x:v>AC4</x:v>
      </x:c>
      <x:c r="D44" s="28" t="str">
        <x:v>Security / Audit</x:v>
      </x:c>
      <x:c r="E44" s="28" t="str">
        <x:v>Role-based access and audit log entry must be applied for create, update and approval actions.</x:v>
      </x:c>
      <x:c r="F44" s="28" t="str">
        <x:v>Must Pass</x:v>
      </x:c>
      <x:c r="G44" s="28" t="str">
        <x:v>Security / PMO</x:v>
      </x:c>
    </x:row>
    <x:row r="45">
      <x:c r="A45" s="28" t="str">
        <x:v>US012</x:v>
      </x:c>
      <x:c r="B45" s="28" t="str">
        <x:v>E04</x:v>
      </x:c>
      <x:c r="C45" s="28" t="str">
        <x:v>AC1</x:v>
      </x:c>
      <x:c r="D45" s="28" t="str">
        <x:v>Functional</x:v>
      </x:c>
      <x:c r="E45" s="28" t="str">
        <x:v>Given the user is in the NFR module, when they receive non-functional requirements, then the system completes the action and records the result.</x:v>
      </x:c>
      <x:c r="F45" s="28" t="str">
        <x:v>Must Pass</x:v>
      </x:c>
      <x:c r="G45" s="28" t="str">
        <x:v>Engineering Lead</x:v>
      </x:c>
    </x:row>
    <x:row r="46">
      <x:c r="A46" s="28" t="str">
        <x:v>US012</x:v>
      </x:c>
      <x:c r="B46" s="28" t="str">
        <x:v>E04</x:v>
      </x:c>
      <x:c r="C46" s="28" t="str">
        <x:v>AC2</x:v>
      </x:c>
      <x:c r="D46" s="28" t="str">
        <x:v>Traceability</x:v>
      </x:c>
      <x:c r="E46" s="28" t="str">
        <x:v>The action must be linked to the mapped step S05, epic E04, story US012, owner and timestamp.</x:v>
      </x:c>
      <x:c r="F46" s="28" t="str">
        <x:v>Must Pass</x:v>
      </x:c>
      <x:c r="G46" s="28" t="str">
        <x:v>Engineering Lead</x:v>
      </x:c>
    </x:row>
    <x:row r="47">
      <x:c r="A47" s="28" t="str">
        <x:v>US012</x:v>
      </x:c>
      <x:c r="B47" s="28" t="str">
        <x:v>E04</x:v>
      </x:c>
      <x:c r="C47" s="28" t="str">
        <x:v>AC3</x:v>
      </x:c>
      <x:c r="D47" s="28" t="str">
        <x:v>Quality / UX</x:v>
      </x:c>
      <x:c r="E47" s="28" t="str">
        <x:v>The interface must show clear status, errors and next action without requiring the user to search another tool.</x:v>
      </x:c>
      <x:c r="F47" s="28" t="str">
        <x:v>Should Pass</x:v>
      </x:c>
      <x:c r="G47" s="28" t="str">
        <x:v>Engineering Lead</x:v>
      </x:c>
    </x:row>
    <x:row r="48">
      <x:c r="A48" s="28" t="str">
        <x:v>US012</x:v>
      </x:c>
      <x:c r="B48" s="28" t="str">
        <x:v>E04</x:v>
      </x:c>
      <x:c r="C48" s="28" t="str">
        <x:v>AC4</x:v>
      </x:c>
      <x:c r="D48" s="28" t="str">
        <x:v>Security / Audit</x:v>
      </x:c>
      <x:c r="E48" s="28" t="str">
        <x:v>Role-based access and audit log entry must be applied for create, update and approval actions.</x:v>
      </x:c>
      <x:c r="F48" s="28" t="str">
        <x:v>Must Pass</x:v>
      </x:c>
      <x:c r="G48" s="28" t="str">
        <x:v>Security / PMO</x:v>
      </x:c>
    </x:row>
    <x:row r="49">
      <x:c r="A49" s="28" t="str">
        <x:v>US013</x:v>
      </x:c>
      <x:c r="B49" s="28" t="str">
        <x:v>E05</x:v>
      </x:c>
      <x:c r="C49" s="28" t="str">
        <x:v>AC1</x:v>
      </x:c>
      <x:c r="D49" s="28" t="str">
        <x:v>Functional</x:v>
      </x:c>
      <x:c r="E49" s="28" t="str">
        <x:v>Given the user is in the Diagram Engine module, when they generate a workflow mermaid diagram, then the system completes the action and records the result.</x:v>
      </x:c>
      <x:c r="F49" s="28" t="str">
        <x:v>Must Pass</x:v>
      </x:c>
      <x:c r="G49" s="28" t="str">
        <x:v>Architect</x:v>
      </x:c>
    </x:row>
    <x:row r="50">
      <x:c r="A50" s="28" t="str">
        <x:v>US013</x:v>
      </x:c>
      <x:c r="B50" s="28" t="str">
        <x:v>E05</x:v>
      </x:c>
      <x:c r="C50" s="28" t="str">
        <x:v>AC2</x:v>
      </x:c>
      <x:c r="D50" s="28" t="str">
        <x:v>Traceability</x:v>
      </x:c>
      <x:c r="E50" s="28" t="str">
        <x:v>The action must be linked to the mapped step S04, epic E05, story US013, owner and timestamp.</x:v>
      </x:c>
      <x:c r="F50" s="28" t="str">
        <x:v>Must Pass</x:v>
      </x:c>
      <x:c r="G50" s="28" t="str">
        <x:v>Architect</x:v>
      </x:c>
    </x:row>
    <x:row r="51">
      <x:c r="A51" s="28" t="str">
        <x:v>US013</x:v>
      </x:c>
      <x:c r="B51" s="28" t="str">
        <x:v>E05</x:v>
      </x:c>
      <x:c r="C51" s="28" t="str">
        <x:v>AC3</x:v>
      </x:c>
      <x:c r="D51" s="28" t="str">
        <x:v>Quality / UX</x:v>
      </x:c>
      <x:c r="E51" s="28" t="str">
        <x:v>The interface must show clear status, errors and next action without requiring the user to search another tool.</x:v>
      </x:c>
      <x:c r="F51" s="28" t="str">
        <x:v>Should Pass</x:v>
      </x:c>
      <x:c r="G51" s="28" t="str">
        <x:v>Architect</x:v>
      </x:c>
    </x:row>
    <x:row r="52">
      <x:c r="A52" s="28" t="str">
        <x:v>US014</x:v>
      </x:c>
      <x:c r="B52" s="28" t="str">
        <x:v>E05</x:v>
      </x:c>
      <x:c r="C52" s="28" t="str">
        <x:v>AC1</x:v>
      </x:c>
      <x:c r="D52" s="28" t="str">
        <x:v>Functional</x:v>
      </x:c>
      <x:c r="E52" s="28" t="str">
        <x:v>Given the user is in the Diagram Engine module, when they generate a system architecture diagram, then the system completes the action and records the result.</x:v>
      </x:c>
      <x:c r="F52" s="28" t="str">
        <x:v>Must Pass</x:v>
      </x:c>
      <x:c r="G52" s="28" t="str">
        <x:v>Architect</x:v>
      </x:c>
    </x:row>
    <x:row r="53">
      <x:c r="A53" s="28" t="str">
        <x:v>US014</x:v>
      </x:c>
      <x:c r="B53" s="28" t="str">
        <x:v>E05</x:v>
      </x:c>
      <x:c r="C53" s="28" t="str">
        <x:v>AC2</x:v>
      </x:c>
      <x:c r="D53" s="28" t="str">
        <x:v>Traceability</x:v>
      </x:c>
      <x:c r="E53" s="28" t="str">
        <x:v>The action must be linked to the mapped step S14, epic E05, story US014, owner and timestamp.</x:v>
      </x:c>
      <x:c r="F53" s="28" t="str">
        <x:v>Must Pass</x:v>
      </x:c>
      <x:c r="G53" s="28" t="str">
        <x:v>Architect</x:v>
      </x:c>
    </x:row>
    <x:row r="54">
      <x:c r="A54" s="28" t="str">
        <x:v>US014</x:v>
      </x:c>
      <x:c r="B54" s="28" t="str">
        <x:v>E05</x:v>
      </x:c>
      <x:c r="C54" s="28" t="str">
        <x:v>AC3</x:v>
      </x:c>
      <x:c r="D54" s="28" t="str">
        <x:v>Quality / UX</x:v>
      </x:c>
      <x:c r="E54" s="28" t="str">
        <x:v>The interface must show clear status, errors and next action without requiring the user to search another tool.</x:v>
      </x:c>
      <x:c r="F54" s="28" t="str">
        <x:v>Should Pass</x:v>
      </x:c>
      <x:c r="G54" s="28" t="str">
        <x:v>Architect</x:v>
      </x:c>
    </x:row>
    <x:row r="55">
      <x:c r="A55" s="28" t="str">
        <x:v>US015</x:v>
      </x:c>
      <x:c r="B55" s="28" t="str">
        <x:v>E05</x:v>
      </x:c>
      <x:c r="C55" s="28" t="str">
        <x:v>AC1</x:v>
      </x:c>
      <x:c r="D55" s="28" t="str">
        <x:v>Functional</x:v>
      </x:c>
      <x:c r="E55" s="28" t="str">
        <x:v>Given the user is in the Diagram Engine module, when they see diagram changes after code updates, then the system completes the action and records the result.</x:v>
      </x:c>
      <x:c r="F55" s="28" t="str">
        <x:v>Must Pass</x:v>
      </x:c>
      <x:c r="G55" s="28" t="str">
        <x:v>PM</x:v>
      </x:c>
    </x:row>
    <x:row r="56">
      <x:c r="A56" s="28" t="str">
        <x:v>US015</x:v>
      </x:c>
      <x:c r="B56" s="28" t="str">
        <x:v>E05</x:v>
      </x:c>
      <x:c r="C56" s="28" t="str">
        <x:v>AC2</x:v>
      </x:c>
      <x:c r="D56" s="28" t="str">
        <x:v>Traceability</x:v>
      </x:c>
      <x:c r="E56" s="28" t="str">
        <x:v>The action must be linked to the mapped step S14, epic E05, story US015, owner and timestamp.</x:v>
      </x:c>
      <x:c r="F56" s="28" t="str">
        <x:v>Must Pass</x:v>
      </x:c>
      <x:c r="G56" s="28" t="str">
        <x:v>PM</x:v>
      </x:c>
    </x:row>
    <x:row r="57">
      <x:c r="A57" s="28" t="str">
        <x:v>US015</x:v>
      </x:c>
      <x:c r="B57" s="28" t="str">
        <x:v>E05</x:v>
      </x:c>
      <x:c r="C57" s="28" t="str">
        <x:v>AC3</x:v>
      </x:c>
      <x:c r="D57" s="28" t="str">
        <x:v>Quality / UX</x:v>
      </x:c>
      <x:c r="E57" s="28" t="str">
        <x:v>The interface must show clear status, errors and next action without requiring the user to search another tool.</x:v>
      </x:c>
      <x:c r="F57" s="28" t="str">
        <x:v>Should Pass</x:v>
      </x:c>
      <x:c r="G57" s="28" t="str">
        <x:v>PM</x:v>
      </x:c>
    </x:row>
    <x:row r="58">
      <x:c r="A58" s="28" t="str">
        <x:v>US015</x:v>
      </x:c>
      <x:c r="B58" s="28" t="str">
        <x:v>E05</x:v>
      </x:c>
      <x:c r="C58" s="28" t="str">
        <x:v>AC4</x:v>
      </x:c>
      <x:c r="D58" s="28" t="str">
        <x:v>Security / Audit</x:v>
      </x:c>
      <x:c r="E58" s="28" t="str">
        <x:v>Role-based access and audit log entry must be applied for create, update and approval actions.</x:v>
      </x:c>
      <x:c r="F58" s="28" t="str">
        <x:v>Must Pass</x:v>
      </x:c>
      <x:c r="G58" s="28" t="str">
        <x:v>Security / PMO</x:v>
      </x:c>
    </x:row>
    <x:row r="59">
      <x:c r="A59" s="28" t="str">
        <x:v>US016</x:v>
      </x:c>
      <x:c r="B59" s="28" t="str">
        <x:v>E06</x:v>
      </x:c>
      <x:c r="C59" s="28" t="str">
        <x:v>AC1</x:v>
      </x:c>
      <x:c r="D59" s="28" t="str">
        <x:v>Functional</x:v>
      </x:c>
      <x:c r="E59" s="28" t="str">
        <x:v>Given the user is in the Backlog module, when they break prd into epics, then the system completes the action and records the result.</x:v>
      </x:c>
      <x:c r="F59" s="28" t="str">
        <x:v>Must Pass</x:v>
      </x:c>
      <x:c r="G59" s="28" t="str">
        <x:v>BA</x:v>
      </x:c>
    </x:row>
    <x:row r="60">
      <x:c r="A60" s="28" t="str">
        <x:v>US016</x:v>
      </x:c>
      <x:c r="B60" s="28" t="str">
        <x:v>E06</x:v>
      </x:c>
      <x:c r="C60" s="28" t="str">
        <x:v>AC2</x:v>
      </x:c>
      <x:c r="D60" s="28" t="str">
        <x:v>Traceability</x:v>
      </x:c>
      <x:c r="E60" s="28" t="str">
        <x:v>The action must be linked to the mapped step S06, epic E06, story US016, owner and timestamp.</x:v>
      </x:c>
      <x:c r="F60" s="28" t="str">
        <x:v>Must Pass</x:v>
      </x:c>
      <x:c r="G60" s="28" t="str">
        <x:v>BA</x:v>
      </x:c>
    </x:row>
    <x:row r="61">
      <x:c r="A61" s="28" t="str">
        <x:v>US016</x:v>
      </x:c>
      <x:c r="B61" s="28" t="str">
        <x:v>E06</x:v>
      </x:c>
      <x:c r="C61" s="28" t="str">
        <x:v>AC3</x:v>
      </x:c>
      <x:c r="D61" s="28" t="str">
        <x:v>Quality / UX</x:v>
      </x:c>
      <x:c r="E61" s="28" t="str">
        <x:v>The interface must show clear status, errors and next action without requiring the user to search another tool.</x:v>
      </x:c>
      <x:c r="F61" s="28" t="str">
        <x:v>Should Pass</x:v>
      </x:c>
      <x:c r="G61" s="28" t="str">
        <x:v>BA</x:v>
      </x:c>
    </x:row>
    <x:row r="62">
      <x:c r="A62" s="28" t="str">
        <x:v>US016</x:v>
      </x:c>
      <x:c r="B62" s="28" t="str">
        <x:v>E06</x:v>
      </x:c>
      <x:c r="C62" s="28" t="str">
        <x:v>AC4</x:v>
      </x:c>
      <x:c r="D62" s="28" t="str">
        <x:v>Security / Audit</x:v>
      </x:c>
      <x:c r="E62" s="28" t="str">
        <x:v>Role-based access and audit log entry must be applied for create, update and approval actions.</x:v>
      </x:c>
      <x:c r="F62" s="28" t="str">
        <x:v>Must Pass</x:v>
      </x:c>
      <x:c r="G62" s="28" t="str">
        <x:v>Security / PMO</x:v>
      </x:c>
    </x:row>
    <x:row r="63">
      <x:c r="A63" s="28" t="str">
        <x:v>US017</x:v>
      </x:c>
      <x:c r="B63" s="28" t="str">
        <x:v>E06</x:v>
      </x:c>
      <x:c r="C63" s="28" t="str">
        <x:v>AC1</x:v>
      </x:c>
      <x:c r="D63" s="28" t="str">
        <x:v>Functional</x:v>
      </x:c>
      <x:c r="E63" s="28" t="str">
        <x:v>Given the user is in the Backlog module, when they generate user stories from each epic, then the system completes the action and records the result.</x:v>
      </x:c>
      <x:c r="F63" s="28" t="str">
        <x:v>Must Pass</x:v>
      </x:c>
      <x:c r="G63" s="28" t="str">
        <x:v>BA</x:v>
      </x:c>
    </x:row>
    <x:row r="64">
      <x:c r="A64" s="28" t="str">
        <x:v>US017</x:v>
      </x:c>
      <x:c r="B64" s="28" t="str">
        <x:v>E06</x:v>
      </x:c>
      <x:c r="C64" s="28" t="str">
        <x:v>AC2</x:v>
      </x:c>
      <x:c r="D64" s="28" t="str">
        <x:v>Traceability</x:v>
      </x:c>
      <x:c r="E64" s="28" t="str">
        <x:v>The action must be linked to the mapped step S06, epic E06, story US017, owner and timestamp.</x:v>
      </x:c>
      <x:c r="F64" s="28" t="str">
        <x:v>Must Pass</x:v>
      </x:c>
      <x:c r="G64" s="28" t="str">
        <x:v>BA</x:v>
      </x:c>
    </x:row>
    <x:row r="65">
      <x:c r="A65" s="28" t="str">
        <x:v>US017</x:v>
      </x:c>
      <x:c r="B65" s="28" t="str">
        <x:v>E06</x:v>
      </x:c>
      <x:c r="C65" s="28" t="str">
        <x:v>AC3</x:v>
      </x:c>
      <x:c r="D65" s="28" t="str">
        <x:v>Quality / UX</x:v>
      </x:c>
      <x:c r="E65" s="28" t="str">
        <x:v>The interface must show clear status, errors and next action without requiring the user to search another tool.</x:v>
      </x:c>
      <x:c r="F65" s="28" t="str">
        <x:v>Should Pass</x:v>
      </x:c>
      <x:c r="G65" s="28" t="str">
        <x:v>BA</x:v>
      </x:c>
    </x:row>
    <x:row r="66">
      <x:c r="A66" s="28" t="str">
        <x:v>US017</x:v>
      </x:c>
      <x:c r="B66" s="28" t="str">
        <x:v>E06</x:v>
      </x:c>
      <x:c r="C66" s="28" t="str">
        <x:v>AC4</x:v>
      </x:c>
      <x:c r="D66" s="28" t="str">
        <x:v>Security / Audit</x:v>
      </x:c>
      <x:c r="E66" s="28" t="str">
        <x:v>Role-based access and audit log entry must be applied for create, update and approval actions.</x:v>
      </x:c>
      <x:c r="F66" s="28" t="str">
        <x:v>Must Pass</x:v>
      </x:c>
      <x:c r="G66" s="28" t="str">
        <x:v>Security / PMO</x:v>
      </x:c>
    </x:row>
    <x:row r="67">
      <x:c r="A67" s="28" t="str">
        <x:v>US018</x:v>
      </x:c>
      <x:c r="B67" s="28" t="str">
        <x:v>E06</x:v>
      </x:c>
      <x:c r="C67" s="28" t="str">
        <x:v>AC1</x:v>
      </x:c>
      <x:c r="D67" s="28" t="str">
        <x:v>Functional</x:v>
      </x:c>
      <x:c r="E67" s="28" t="str">
        <x:v>Given the user is in the Backlog Quality module, when they flag stories that fail invest, then the system completes the action and records the result.</x:v>
      </x:c>
      <x:c r="F67" s="28" t="str">
        <x:v>Must Pass</x:v>
      </x:c>
      <x:c r="G67" s="28" t="str">
        <x:v>Scrum Master</x:v>
      </x:c>
    </x:row>
    <x:row r="68">
      <x:c r="A68" s="28" t="str">
        <x:v>US018</x:v>
      </x:c>
      <x:c r="B68" s="28" t="str">
        <x:v>E06</x:v>
      </x:c>
      <x:c r="C68" s="28" t="str">
        <x:v>AC2</x:v>
      </x:c>
      <x:c r="D68" s="28" t="str">
        <x:v>Traceability</x:v>
      </x:c>
      <x:c r="E68" s="28" t="str">
        <x:v>The action must be linked to the mapped step S06, epic E06, story US018, owner and timestamp.</x:v>
      </x:c>
      <x:c r="F68" s="28" t="str">
        <x:v>Must Pass</x:v>
      </x:c>
      <x:c r="G68" s="28" t="str">
        <x:v>Scrum Master</x:v>
      </x:c>
    </x:row>
    <x:row r="69">
      <x:c r="A69" s="28" t="str">
        <x:v>US018</x:v>
      </x:c>
      <x:c r="B69" s="28" t="str">
        <x:v>E06</x:v>
      </x:c>
      <x:c r="C69" s="28" t="str">
        <x:v>AC3</x:v>
      </x:c>
      <x:c r="D69" s="28" t="str">
        <x:v>Quality / UX</x:v>
      </x:c>
      <x:c r="E69" s="28" t="str">
        <x:v>The interface must show clear status, errors and next action without requiring the user to search another tool.</x:v>
      </x:c>
      <x:c r="F69" s="28" t="str">
        <x:v>Should Pass</x:v>
      </x:c>
      <x:c r="G69" s="28" t="str">
        <x:v>Scrum Master</x:v>
      </x:c>
    </x:row>
    <x:row r="70">
      <x:c r="A70" s="28" t="str">
        <x:v>US018</x:v>
      </x:c>
      <x:c r="B70" s="28" t="str">
        <x:v>E06</x:v>
      </x:c>
      <x:c r="C70" s="28" t="str">
        <x:v>AC4</x:v>
      </x:c>
      <x:c r="D70" s="28" t="str">
        <x:v>Security / Audit</x:v>
      </x:c>
      <x:c r="E70" s="28" t="str">
        <x:v>Role-based access and audit log entry must be applied for create, update and approval actions.</x:v>
      </x:c>
      <x:c r="F70" s="28" t="str">
        <x:v>Must Pass</x:v>
      </x:c>
      <x:c r="G70" s="28" t="str">
        <x:v>Security / PMO</x:v>
      </x:c>
    </x:row>
    <x:row r="71">
      <x:c r="A71" s="28" t="str">
        <x:v>US019</x:v>
      </x:c>
      <x:c r="B71" s="28" t="str">
        <x:v>E07</x:v>
      </x:c>
      <x:c r="C71" s="28" t="str">
        <x:v>AC1</x:v>
      </x:c>
      <x:c r="D71" s="28" t="str">
        <x:v>Functional</x:v>
      </x:c>
      <x:c r="E71" s="28" t="str">
        <x:v>Given the user is in the Quality module, when they generate acceptance criteria for each story, then the system completes the action and records the result.</x:v>
      </x:c>
      <x:c r="F71" s="28" t="str">
        <x:v>Must Pass</x:v>
      </x:c>
      <x:c r="G71" s="28" t="str">
        <x:v>QA</x:v>
      </x:c>
    </x:row>
    <x:row r="72">
      <x:c r="A72" s="28" t="str">
        <x:v>US019</x:v>
      </x:c>
      <x:c r="B72" s="28" t="str">
        <x:v>E07</x:v>
      </x:c>
      <x:c r="C72" s="28" t="str">
        <x:v>AC2</x:v>
      </x:c>
      <x:c r="D72" s="28" t="str">
        <x:v>Traceability</x:v>
      </x:c>
      <x:c r="E72" s="28" t="str">
        <x:v>The action must be linked to the mapped step S07, epic E07, story US019, owner and timestamp.</x:v>
      </x:c>
      <x:c r="F72" s="28" t="str">
        <x:v>Must Pass</x:v>
      </x:c>
      <x:c r="G72" s="28" t="str">
        <x:v>QA</x:v>
      </x:c>
    </x:row>
    <x:row r="73">
      <x:c r="A73" s="28" t="str">
        <x:v>US019</x:v>
      </x:c>
      <x:c r="B73" s="28" t="str">
        <x:v>E07</x:v>
      </x:c>
      <x:c r="C73" s="28" t="str">
        <x:v>AC3</x:v>
      </x:c>
      <x:c r="D73" s="28" t="str">
        <x:v>Quality / UX</x:v>
      </x:c>
      <x:c r="E73" s="28" t="str">
        <x:v>The interface must show clear status, errors and next action without requiring the user to search another tool.</x:v>
      </x:c>
      <x:c r="F73" s="28" t="str">
        <x:v>Should Pass</x:v>
      </x:c>
      <x:c r="G73" s="28" t="str">
        <x:v>QA</x:v>
      </x:c>
    </x:row>
    <x:row r="74">
      <x:c r="A74" s="28" t="str">
        <x:v>US019</x:v>
      </x:c>
      <x:c r="B74" s="28" t="str">
        <x:v>E07</x:v>
      </x:c>
      <x:c r="C74" s="28" t="str">
        <x:v>AC4</x:v>
      </x:c>
      <x:c r="D74" s="28" t="str">
        <x:v>Security / Audit</x:v>
      </x:c>
      <x:c r="E74" s="28" t="str">
        <x:v>Role-based access and audit log entry must be applied for create, update and approval actions.</x:v>
      </x:c>
      <x:c r="F74" s="28" t="str">
        <x:v>Must Pass</x:v>
      </x:c>
      <x:c r="G74" s="28" t="str">
        <x:v>Security / PMO</x:v>
      </x:c>
    </x:row>
    <x:row r="75">
      <x:c r="A75" s="28" t="str">
        <x:v>US020</x:v>
      </x:c>
      <x:c r="B75" s="28" t="str">
        <x:v>E07</x:v>
      </x:c>
      <x:c r="C75" s="28" t="str">
        <x:v>AC1</x:v>
      </x:c>
      <x:c r="D75" s="28" t="str">
        <x:v>Functional</x:v>
      </x:c>
      <x:c r="E75" s="28" t="str">
        <x:v>Given the user is in the Quality module, when they edit ai-generated acceptance criteria, then the system completes the action and records the result.</x:v>
      </x:c>
      <x:c r="F75" s="28" t="str">
        <x:v>Must Pass</x:v>
      </x:c>
      <x:c r="G75" s="28" t="str">
        <x:v>BA</x:v>
      </x:c>
    </x:row>
    <x:row r="76">
      <x:c r="A76" s="28" t="str">
        <x:v>US020</x:v>
      </x:c>
      <x:c r="B76" s="28" t="str">
        <x:v>E07</x:v>
      </x:c>
      <x:c r="C76" s="28" t="str">
        <x:v>AC2</x:v>
      </x:c>
      <x:c r="D76" s="28" t="str">
        <x:v>Traceability</x:v>
      </x:c>
      <x:c r="E76" s="28" t="str">
        <x:v>The action must be linked to the mapped step S07, epic E07, story US020, owner and timestamp.</x:v>
      </x:c>
      <x:c r="F76" s="28" t="str">
        <x:v>Must Pass</x:v>
      </x:c>
      <x:c r="G76" s="28" t="str">
        <x:v>BA</x:v>
      </x:c>
    </x:row>
    <x:row r="77">
      <x:c r="A77" s="28" t="str">
        <x:v>US020</x:v>
      </x:c>
      <x:c r="B77" s="28" t="str">
        <x:v>E07</x:v>
      </x:c>
      <x:c r="C77" s="28" t="str">
        <x:v>AC3</x:v>
      </x:c>
      <x:c r="D77" s="28" t="str">
        <x:v>Quality / UX</x:v>
      </x:c>
      <x:c r="E77" s="28" t="str">
        <x:v>The interface must show clear status, errors and next action without requiring the user to search another tool.</x:v>
      </x:c>
      <x:c r="F77" s="28" t="str">
        <x:v>Should Pass</x:v>
      </x:c>
      <x:c r="G77" s="28" t="str">
        <x:v>BA</x:v>
      </x:c>
    </x:row>
    <x:row r="78">
      <x:c r="A78" s="28" t="str">
        <x:v>US020</x:v>
      </x:c>
      <x:c r="B78" s="28" t="str">
        <x:v>E07</x:v>
      </x:c>
      <x:c r="C78" s="28" t="str">
        <x:v>AC4</x:v>
      </x:c>
      <x:c r="D78" s="28" t="str">
        <x:v>Security / Audit</x:v>
      </x:c>
      <x:c r="E78" s="28" t="str">
        <x:v>Role-based access and audit log entry must be applied for create, update and approval actions.</x:v>
      </x:c>
      <x:c r="F78" s="28" t="str">
        <x:v>Must Pass</x:v>
      </x:c>
      <x:c r="G78" s="28" t="str">
        <x:v>Security / PMO</x:v>
      </x:c>
    </x:row>
    <x:row r="79">
      <x:c r="A79" s="28" t="str">
        <x:v>US021</x:v>
      </x:c>
      <x:c r="B79" s="28" t="str">
        <x:v>E07</x:v>
      </x:c>
      <x:c r="C79" s="28" t="str">
        <x:v>AC1</x:v>
      </x:c>
      <x:c r="D79" s="28" t="str">
        <x:v>Functional</x:v>
      </x:c>
      <x:c r="E79" s="28" t="str">
        <x:v>Given the user is in the Quality module, when they generate test scenarios from criteria, then the system completes the action and records the result.</x:v>
      </x:c>
      <x:c r="F79" s="28" t="str">
        <x:v>Must Pass</x:v>
      </x:c>
      <x:c r="G79" s="28" t="str">
        <x:v>QA</x:v>
      </x:c>
    </x:row>
    <x:row r="80">
      <x:c r="A80" s="28" t="str">
        <x:v>US021</x:v>
      </x:c>
      <x:c r="B80" s="28" t="str">
        <x:v>E07</x:v>
      </x:c>
      <x:c r="C80" s="28" t="str">
        <x:v>AC2</x:v>
      </x:c>
      <x:c r="D80" s="28" t="str">
        <x:v>Traceability</x:v>
      </x:c>
      <x:c r="E80" s="28" t="str">
        <x:v>The action must be linked to the mapped step S07, epic E07, story US021, owner and timestamp.</x:v>
      </x:c>
      <x:c r="F80" s="28" t="str">
        <x:v>Must Pass</x:v>
      </x:c>
      <x:c r="G80" s="28" t="str">
        <x:v>QA</x:v>
      </x:c>
    </x:row>
    <x:row r="81">
      <x:c r="A81" s="28" t="str">
        <x:v>US021</x:v>
      </x:c>
      <x:c r="B81" s="28" t="str">
        <x:v>E07</x:v>
      </x:c>
      <x:c r="C81" s="28" t="str">
        <x:v>AC3</x:v>
      </x:c>
      <x:c r="D81" s="28" t="str">
        <x:v>Quality / UX</x:v>
      </x:c>
      <x:c r="E81" s="28" t="str">
        <x:v>The interface must show clear status, errors and next action without requiring the user to search another tool.</x:v>
      </x:c>
      <x:c r="F81" s="28" t="str">
        <x:v>Should Pass</x:v>
      </x:c>
      <x:c r="G81" s="28" t="str">
        <x:v>QA</x:v>
      </x:c>
    </x:row>
    <x:row r="82">
      <x:c r="A82" s="28" t="str">
        <x:v>US022</x:v>
      </x:c>
      <x:c r="B82" s="28" t="str">
        <x:v>E08</x:v>
      </x:c>
      <x:c r="C82" s="28" t="str">
        <x:v>AC1</x:v>
      </x:c>
      <x:c r="D82" s="28" t="str">
        <x:v>Functional</x:v>
      </x:c>
      <x:c r="E82" s="28" t="str">
        <x:v>Given the user is in the Confluence module, when they push approved prd to confluence, then the system completes the action and records the result.</x:v>
      </x:c>
      <x:c r="F82" s="28" t="str">
        <x:v>Must Pass</x:v>
      </x:c>
      <x:c r="G82" s="28" t="str">
        <x:v>Documentation Agent</x:v>
      </x:c>
    </x:row>
    <x:row r="83">
      <x:c r="A83" s="28" t="str">
        <x:v>US022</x:v>
      </x:c>
      <x:c r="B83" s="28" t="str">
        <x:v>E08</x:v>
      </x:c>
      <x:c r="C83" s="28" t="str">
        <x:v>AC2</x:v>
      </x:c>
      <x:c r="D83" s="28" t="str">
        <x:v>Traceability</x:v>
      </x:c>
      <x:c r="E83" s="28" t="str">
        <x:v>The action must be linked to the mapped step S13, epic E08, story US022, owner and timestamp.</x:v>
      </x:c>
      <x:c r="F83" s="28" t="str">
        <x:v>Must Pass</x:v>
      </x:c>
      <x:c r="G83" s="28" t="str">
        <x:v>Documentation Agent</x:v>
      </x:c>
    </x:row>
    <x:row r="84">
      <x:c r="A84" s="28" t="str">
        <x:v>US022</x:v>
      </x:c>
      <x:c r="B84" s="28" t="str">
        <x:v>E08</x:v>
      </x:c>
      <x:c r="C84" s="28" t="str">
        <x:v>AC3</x:v>
      </x:c>
      <x:c r="D84" s="28" t="str">
        <x:v>Quality / UX</x:v>
      </x:c>
      <x:c r="E84" s="28" t="str">
        <x:v>The interface must show clear status, errors and next action without requiring the user to search another tool.</x:v>
      </x:c>
      <x:c r="F84" s="28" t="str">
        <x:v>Should Pass</x:v>
      </x:c>
      <x:c r="G84" s="28" t="str">
        <x:v>Documentation Agent</x:v>
      </x:c>
    </x:row>
    <x:row r="85">
      <x:c r="A85" s="28" t="str">
        <x:v>US022</x:v>
      </x:c>
      <x:c r="B85" s="28" t="str">
        <x:v>E08</x:v>
      </x:c>
      <x:c r="C85" s="28" t="str">
        <x:v>AC4</x:v>
      </x:c>
      <x:c r="D85" s="28" t="str">
        <x:v>Security / Audit</x:v>
      </x:c>
      <x:c r="E85" s="28" t="str">
        <x:v>Role-based access and audit log entry must be applied for create, update and approval actions.</x:v>
      </x:c>
      <x:c r="F85" s="28" t="str">
        <x:v>Must Pass</x:v>
      </x:c>
      <x:c r="G85" s="28" t="str">
        <x:v>Security / PMO</x:v>
      </x:c>
    </x:row>
    <x:row r="86">
      <x:c r="A86" s="28" t="str">
        <x:v>US023</x:v>
      </x:c>
      <x:c r="B86" s="28" t="str">
        <x:v>E08</x:v>
      </x:c>
      <x:c r="C86" s="28" t="str">
        <x:v>AC1</x:v>
      </x:c>
      <x:c r="D86" s="28" t="str">
        <x:v>Functional</x:v>
      </x:c>
      <x:c r="E86" s="28" t="str">
        <x:v>Given the user is in the Confluence module, when they sync requirement changes to confluence, then the system completes the action and records the result.</x:v>
      </x:c>
      <x:c r="F86" s="28" t="str">
        <x:v>Must Pass</x:v>
      </x:c>
      <x:c r="G86" s="28" t="str">
        <x:v>BA</x:v>
      </x:c>
    </x:row>
    <x:row r="87">
      <x:c r="A87" s="28" t="str">
        <x:v>US023</x:v>
      </x:c>
      <x:c r="B87" s="28" t="str">
        <x:v>E08</x:v>
      </x:c>
      <x:c r="C87" s="28" t="str">
        <x:v>AC2</x:v>
      </x:c>
      <x:c r="D87" s="28" t="str">
        <x:v>Traceability</x:v>
      </x:c>
      <x:c r="E87" s="28" t="str">
        <x:v>The action must be linked to the mapped step S13, epic E08, story US023, owner and timestamp.</x:v>
      </x:c>
      <x:c r="F87" s="28" t="str">
        <x:v>Must Pass</x:v>
      </x:c>
      <x:c r="G87" s="28" t="str">
        <x:v>BA</x:v>
      </x:c>
    </x:row>
    <x:row r="88">
      <x:c r="A88" s="28" t="str">
        <x:v>US023</x:v>
      </x:c>
      <x:c r="B88" s="28" t="str">
        <x:v>E08</x:v>
      </x:c>
      <x:c r="C88" s="28" t="str">
        <x:v>AC3</x:v>
      </x:c>
      <x:c r="D88" s="28" t="str">
        <x:v>Quality / UX</x:v>
      </x:c>
      <x:c r="E88" s="28" t="str">
        <x:v>The interface must show clear status, errors and next action without requiring the user to search another tool.</x:v>
      </x:c>
      <x:c r="F88" s="28" t="str">
        <x:v>Should Pass</x:v>
      </x:c>
      <x:c r="G88" s="28" t="str">
        <x:v>BA</x:v>
      </x:c>
    </x:row>
    <x:row r="89">
      <x:c r="A89" s="28" t="str">
        <x:v>US023</x:v>
      </x:c>
      <x:c r="B89" s="28" t="str">
        <x:v>E08</x:v>
      </x:c>
      <x:c r="C89" s="28" t="str">
        <x:v>AC4</x:v>
      </x:c>
      <x:c r="D89" s="28" t="str">
        <x:v>Security / Audit</x:v>
      </x:c>
      <x:c r="E89" s="28" t="str">
        <x:v>Role-based access and audit log entry must be applied for create, update and approval actions.</x:v>
      </x:c>
      <x:c r="F89" s="28" t="str">
        <x:v>Must Pass</x:v>
      </x:c>
      <x:c r="G89" s="28" t="str">
        <x:v>Security / PMO</x:v>
      </x:c>
    </x:row>
    <x:row r="90">
      <x:c r="A90" s="28" t="str">
        <x:v>US024</x:v>
      </x:c>
      <x:c r="B90" s="28" t="str">
        <x:v>E08</x:v>
      </x:c>
      <x:c r="C90" s="28" t="str">
        <x:v>AC1</x:v>
      </x:c>
      <x:c r="D90" s="28" t="str">
        <x:v>Functional</x:v>
      </x:c>
      <x:c r="E90" s="28" t="str">
        <x:v>Given the user is in the Confluence module, when they view release notes from confluence, then the system completes the action and records the result.</x:v>
      </x:c>
      <x:c r="F90" s="28" t="str">
        <x:v>Must Pass</x:v>
      </x:c>
      <x:c r="G90" s="28" t="str">
        <x:v>PM</x:v>
      </x:c>
    </x:row>
    <x:row r="91">
      <x:c r="A91" s="28" t="str">
        <x:v>US024</x:v>
      </x:c>
      <x:c r="B91" s="28" t="str">
        <x:v>E08</x:v>
      </x:c>
      <x:c r="C91" s="28" t="str">
        <x:v>AC2</x:v>
      </x:c>
      <x:c r="D91" s="28" t="str">
        <x:v>Traceability</x:v>
      </x:c>
      <x:c r="E91" s="28" t="str">
        <x:v>The action must be linked to the mapped step S13, epic E08, story US024, owner and timestamp.</x:v>
      </x:c>
      <x:c r="F91" s="28" t="str">
        <x:v>Must Pass</x:v>
      </x:c>
      <x:c r="G91" s="28" t="str">
        <x:v>PM</x:v>
      </x:c>
    </x:row>
    <x:row r="92">
      <x:c r="A92" s="28" t="str">
        <x:v>US024</x:v>
      </x:c>
      <x:c r="B92" s="28" t="str">
        <x:v>E08</x:v>
      </x:c>
      <x:c r="C92" s="28" t="str">
        <x:v>AC3</x:v>
      </x:c>
      <x:c r="D92" s="28" t="str">
        <x:v>Quality / UX</x:v>
      </x:c>
      <x:c r="E92" s="28" t="str">
        <x:v>The interface must show clear status, errors and next action without requiring the user to search another tool.</x:v>
      </x:c>
      <x:c r="F92" s="28" t="str">
        <x:v>Should Pass</x:v>
      </x:c>
      <x:c r="G92" s="28" t="str">
        <x:v>PM</x:v>
      </x:c>
    </x:row>
    <x:row r="93">
      <x:c r="A93" s="28" t="str">
        <x:v>US025</x:v>
      </x:c>
      <x:c r="B93" s="28" t="str">
        <x:v>E09</x:v>
      </x:c>
      <x:c r="C93" s="28" t="str">
        <x:v>AC1</x:v>
      </x:c>
      <x:c r="D93" s="28" t="str">
        <x:v>Functional</x:v>
      </x:c>
      <x:c r="E93" s="28" t="str">
        <x:v>Given the user is in the Jira Sync module, when they push stories to jira or linear, then the system completes the action and records the result.</x:v>
      </x:c>
      <x:c r="F93" s="28" t="str">
        <x:v>Must Pass</x:v>
      </x:c>
      <x:c r="G93" s="28" t="str">
        <x:v>Project Manager</x:v>
      </x:c>
    </x:row>
    <x:row r="94">
      <x:c r="A94" s="28" t="str">
        <x:v>US025</x:v>
      </x:c>
      <x:c r="B94" s="28" t="str">
        <x:v>E09</x:v>
      </x:c>
      <x:c r="C94" s="28" t="str">
        <x:v>AC2</x:v>
      </x:c>
      <x:c r="D94" s="28" t="str">
        <x:v>Traceability</x:v>
      </x:c>
      <x:c r="E94" s="28" t="str">
        <x:v>The action must be linked to the mapped step S08, epic E09, story US025, owner and timestamp.</x:v>
      </x:c>
      <x:c r="F94" s="28" t="str">
        <x:v>Must Pass</x:v>
      </x:c>
      <x:c r="G94" s="28" t="str">
        <x:v>Project Manager</x:v>
      </x:c>
    </x:row>
    <x:row r="95">
      <x:c r="A95" s="28" t="str">
        <x:v>US025</x:v>
      </x:c>
      <x:c r="B95" s="28" t="str">
        <x:v>E09</x:v>
      </x:c>
      <x:c r="C95" s="28" t="str">
        <x:v>AC3</x:v>
      </x:c>
      <x:c r="D95" s="28" t="str">
        <x:v>Quality / UX</x:v>
      </x:c>
      <x:c r="E95" s="28" t="str">
        <x:v>The interface must show clear status, errors and next action without requiring the user to search another tool.</x:v>
      </x:c>
      <x:c r="F95" s="28" t="str">
        <x:v>Should Pass</x:v>
      </x:c>
      <x:c r="G95" s="28" t="str">
        <x:v>Project Manager</x:v>
      </x:c>
    </x:row>
    <x:row r="96">
      <x:c r="A96" s="28" t="str">
        <x:v>US025</x:v>
      </x:c>
      <x:c r="B96" s="28" t="str">
        <x:v>E09</x:v>
      </x:c>
      <x:c r="C96" s="28" t="str">
        <x:v>AC4</x:v>
      </x:c>
      <x:c r="D96" s="28" t="str">
        <x:v>Security / Audit</x:v>
      </x:c>
      <x:c r="E96" s="28" t="str">
        <x:v>Role-based access and audit log entry must be applied for create, update and approval actions.</x:v>
      </x:c>
      <x:c r="F96" s="28" t="str">
        <x:v>Must Pass</x:v>
      </x:c>
      <x:c r="G96" s="28" t="str">
        <x:v>Security / PMO</x:v>
      </x:c>
    </x:row>
    <x:row r="97">
      <x:c r="A97" s="28" t="str">
        <x:v>US026</x:v>
      </x:c>
      <x:c r="B97" s="28" t="str">
        <x:v>E09</x:v>
      </x:c>
      <x:c r="C97" s="28" t="str">
        <x:v>AC1</x:v>
      </x:c>
      <x:c r="D97" s="28" t="str">
        <x:v>Functional</x:v>
      </x:c>
      <x:c r="E97" s="28" t="str">
        <x:v>Given the user is in the Jira Sync module, when they keep jira status synced with the platform, then the system completes the action and records the result.</x:v>
      </x:c>
      <x:c r="F97" s="28" t="str">
        <x:v>Must Pass</x:v>
      </x:c>
      <x:c r="G97" s="28" t="str">
        <x:v>PM</x:v>
      </x:c>
    </x:row>
    <x:row r="98">
      <x:c r="A98" s="28" t="str">
        <x:v>US026</x:v>
      </x:c>
      <x:c r="B98" s="28" t="str">
        <x:v>E09</x:v>
      </x:c>
      <x:c r="C98" s="28" t="str">
        <x:v>AC2</x:v>
      </x:c>
      <x:c r="D98" s="28" t="str">
        <x:v>Traceability</x:v>
      </x:c>
      <x:c r="E98" s="28" t="str">
        <x:v>The action must be linked to the mapped step S08, epic E09, story US026, owner and timestamp.</x:v>
      </x:c>
      <x:c r="F98" s="28" t="str">
        <x:v>Must Pass</x:v>
      </x:c>
      <x:c r="G98" s="28" t="str">
        <x:v>PM</x:v>
      </x:c>
    </x:row>
    <x:row r="99">
      <x:c r="A99" s="28" t="str">
        <x:v>US026</x:v>
      </x:c>
      <x:c r="B99" s="28" t="str">
        <x:v>E09</x:v>
      </x:c>
      <x:c r="C99" s="28" t="str">
        <x:v>AC3</x:v>
      </x:c>
      <x:c r="D99" s="28" t="str">
        <x:v>Quality / UX</x:v>
      </x:c>
      <x:c r="E99" s="28" t="str">
        <x:v>The interface must show clear status, errors and next action without requiring the user to search another tool.</x:v>
      </x:c>
      <x:c r="F99" s="28" t="str">
        <x:v>Should Pass</x:v>
      </x:c>
      <x:c r="G99" s="28" t="str">
        <x:v>PM</x:v>
      </x:c>
    </x:row>
    <x:row r="100">
      <x:c r="A100" s="28" t="str">
        <x:v>US026</x:v>
      </x:c>
      <x:c r="B100" s="28" t="str">
        <x:v>E09</x:v>
      </x:c>
      <x:c r="C100" s="28" t="str">
        <x:v>AC4</x:v>
      </x:c>
      <x:c r="D100" s="28" t="str">
        <x:v>Security / Audit</x:v>
      </x:c>
      <x:c r="E100" s="28" t="str">
        <x:v>Role-based access and audit log entry must be applied for create, update and approval actions.</x:v>
      </x:c>
      <x:c r="F100" s="28" t="str">
        <x:v>Must Pass</x:v>
      </x:c>
      <x:c r="G100" s="28" t="str">
        <x:v>Security / PMO</x:v>
      </x:c>
    </x:row>
    <x:row r="101">
      <x:c r="A101" s="28" t="str">
        <x:v>US027</x:v>
      </x:c>
      <x:c r="B101" s="28" t="str">
        <x:v>E09</x:v>
      </x:c>
      <x:c r="C101" s="28" t="str">
        <x:v>AC1</x:v>
      </x:c>
      <x:c r="D101" s="28" t="str">
        <x:v>Functional</x:v>
      </x:c>
      <x:c r="E101" s="28" t="str">
        <x:v>Given the user is in the Backlog Quality module, when they see unmapped jira tickets, then the system completes the action and records the result.</x:v>
      </x:c>
      <x:c r="F101" s="28" t="str">
        <x:v>Must Pass</x:v>
      </x:c>
      <x:c r="G101" s="28" t="str">
        <x:v>BA</x:v>
      </x:c>
    </x:row>
    <x:row r="102">
      <x:c r="A102" s="28" t="str">
        <x:v>US027</x:v>
      </x:c>
      <x:c r="B102" s="28" t="str">
        <x:v>E09</x:v>
      </x:c>
      <x:c r="C102" s="28" t="str">
        <x:v>AC2</x:v>
      </x:c>
      <x:c r="D102" s="28" t="str">
        <x:v>Traceability</x:v>
      </x:c>
      <x:c r="E102" s="28" t="str">
        <x:v>The action must be linked to the mapped step S08, epic E09, story US027, owner and timestamp.</x:v>
      </x:c>
      <x:c r="F102" s="28" t="str">
        <x:v>Must Pass</x:v>
      </x:c>
      <x:c r="G102" s="28" t="str">
        <x:v>BA</x:v>
      </x:c>
    </x:row>
    <x:row r="103">
      <x:c r="A103" s="28" t="str">
        <x:v>US027</x:v>
      </x:c>
      <x:c r="B103" s="28" t="str">
        <x:v>E09</x:v>
      </x:c>
      <x:c r="C103" s="28" t="str">
        <x:v>AC3</x:v>
      </x:c>
      <x:c r="D103" s="28" t="str">
        <x:v>Quality / UX</x:v>
      </x:c>
      <x:c r="E103" s="28" t="str">
        <x:v>The interface must show clear status, errors and next action without requiring the user to search another tool.</x:v>
      </x:c>
      <x:c r="F103" s="28" t="str">
        <x:v>Should Pass</x:v>
      </x:c>
      <x:c r="G103" s="28" t="str">
        <x:v>BA</x:v>
      </x:c>
    </x:row>
    <x:row r="104">
      <x:c r="A104" s="28" t="str">
        <x:v>US028</x:v>
      </x:c>
      <x:c r="B104" s="28" t="str">
        <x:v>E10</x:v>
      </x:c>
      <x:c r="C104" s="28" t="str">
        <x:v>AC1</x:v>
      </x:c>
      <x:c r="D104" s="28" t="str">
        <x:v>Functional</x:v>
      </x:c>
      <x:c r="E104" s="28" t="str">
        <x:v>Given the user is in the IDE Sync module, when they open a story inside my ide with full context, then the system completes the action and records the result.</x:v>
      </x:c>
      <x:c r="F104" s="28" t="str">
        <x:v>Must Pass</x:v>
      </x:c>
      <x:c r="G104" s="28" t="str">
        <x:v>Engineering</x:v>
      </x:c>
    </x:row>
    <x:row r="105">
      <x:c r="A105" s="28" t="str">
        <x:v>US028</x:v>
      </x:c>
      <x:c r="B105" s="28" t="str">
        <x:v>E10</x:v>
      </x:c>
      <x:c r="C105" s="28" t="str">
        <x:v>AC2</x:v>
      </x:c>
      <x:c r="D105" s="28" t="str">
        <x:v>Traceability</x:v>
      </x:c>
      <x:c r="E105" s="28" t="str">
        <x:v>The action must be linked to the mapped step S09, epic E10, story US028, owner and timestamp.</x:v>
      </x:c>
      <x:c r="F105" s="28" t="str">
        <x:v>Must Pass</x:v>
      </x:c>
      <x:c r="G105" s="28" t="str">
        <x:v>Engineering</x:v>
      </x:c>
    </x:row>
    <x:row r="106">
      <x:c r="A106" s="28" t="str">
        <x:v>US028</x:v>
      </x:c>
      <x:c r="B106" s="28" t="str">
        <x:v>E10</x:v>
      </x:c>
      <x:c r="C106" s="28" t="str">
        <x:v>AC3</x:v>
      </x:c>
      <x:c r="D106" s="28" t="str">
        <x:v>Quality / UX</x:v>
      </x:c>
      <x:c r="E106" s="28" t="str">
        <x:v>The interface must show clear status, errors and next action without requiring the user to search another tool.</x:v>
      </x:c>
      <x:c r="F106" s="28" t="str">
        <x:v>Should Pass</x:v>
      </x:c>
      <x:c r="G106" s="28" t="str">
        <x:v>Engineering</x:v>
      </x:c>
    </x:row>
    <x:row r="107">
      <x:c r="A107" s="28" t="str">
        <x:v>US028</x:v>
      </x:c>
      <x:c r="B107" s="28" t="str">
        <x:v>E10</x:v>
      </x:c>
      <x:c r="C107" s="28" t="str">
        <x:v>AC4</x:v>
      </x:c>
      <x:c r="D107" s="28" t="str">
        <x:v>Security / Audit</x:v>
      </x:c>
      <x:c r="E107" s="28" t="str">
        <x:v>Role-based access and audit log entry must be applied for create, update and approval actions.</x:v>
      </x:c>
      <x:c r="F107" s="28" t="str">
        <x:v>Must Pass</x:v>
      </x:c>
      <x:c r="G107" s="28" t="str">
        <x:v>Security / PMO</x:v>
      </x:c>
    </x:row>
    <x:row r="108">
      <x:c r="A108" s="28" t="str">
        <x:v>US029</x:v>
      </x:c>
      <x:c r="B108" s="28" t="str">
        <x:v>E10</x:v>
      </x:c>
      <x:c r="C108" s="28" t="str">
        <x:v>AC1</x:v>
      </x:c>
      <x:c r="D108" s="28" t="str">
        <x:v>Functional</x:v>
      </x:c>
      <x:c r="E108" s="28" t="str">
        <x:v>Given the user is in the GitHub module, when they create a branch from a user story, then the system completes the action and records the result.</x:v>
      </x:c>
      <x:c r="F108" s="28" t="str">
        <x:v>Must Pass</x:v>
      </x:c>
      <x:c r="G108" s="28" t="str">
        <x:v>Engineering</x:v>
      </x:c>
    </x:row>
    <x:row r="109">
      <x:c r="A109" s="28" t="str">
        <x:v>US029</x:v>
      </x:c>
      <x:c r="B109" s="28" t="str">
        <x:v>E10</x:v>
      </x:c>
      <x:c r="C109" s="28" t="str">
        <x:v>AC2</x:v>
      </x:c>
      <x:c r="D109" s="28" t="str">
        <x:v>Traceability</x:v>
      </x:c>
      <x:c r="E109" s="28" t="str">
        <x:v>The action must be linked to the mapped step S09, epic E10, story US029, owner and timestamp.</x:v>
      </x:c>
      <x:c r="F109" s="28" t="str">
        <x:v>Must Pass</x:v>
      </x:c>
      <x:c r="G109" s="28" t="str">
        <x:v>Engineering</x:v>
      </x:c>
    </x:row>
    <x:row r="110">
      <x:c r="A110" s="28" t="str">
        <x:v>US029</x:v>
      </x:c>
      <x:c r="B110" s="28" t="str">
        <x:v>E10</x:v>
      </x:c>
      <x:c r="C110" s="28" t="str">
        <x:v>AC3</x:v>
      </x:c>
      <x:c r="D110" s="28" t="str">
        <x:v>Quality / UX</x:v>
      </x:c>
      <x:c r="E110" s="28" t="str">
        <x:v>The interface must show clear status, errors and next action without requiring the user to search another tool.</x:v>
      </x:c>
      <x:c r="F110" s="28" t="str">
        <x:v>Should Pass</x:v>
      </x:c>
      <x:c r="G110" s="28" t="str">
        <x:v>Engineering</x:v>
      </x:c>
    </x:row>
    <x:row r="111">
      <x:c r="A111" s="28" t="str">
        <x:v>US029</x:v>
      </x:c>
      <x:c r="B111" s="28" t="str">
        <x:v>E10</x:v>
      </x:c>
      <x:c r="C111" s="28" t="str">
        <x:v>AC4</x:v>
      </x:c>
      <x:c r="D111" s="28" t="str">
        <x:v>Security / Audit</x:v>
      </x:c>
      <x:c r="E111" s="28" t="str">
        <x:v>Role-based access and audit log entry must be applied for create, update and approval actions.</x:v>
      </x:c>
      <x:c r="F111" s="28" t="str">
        <x:v>Must Pass</x:v>
      </x:c>
      <x:c r="G111" s="28" t="str">
        <x:v>Security / PMO</x:v>
      </x:c>
    </x:row>
    <x:row r="112">
      <x:c r="A112" s="28" t="str">
        <x:v>US030</x:v>
      </x:c>
      <x:c r="B112" s="28" t="str">
        <x:v>E10</x:v>
      </x:c>
      <x:c r="C112" s="28" t="str">
        <x:v>AC1</x:v>
      </x:c>
      <x:c r="D112" s="28" t="str">
        <x:v>Functional</x:v>
      </x:c>
      <x:c r="E112" s="28" t="str">
        <x:v>Given the user is in the GitHub module, when they view prs mapped to stories, then the system completes the action and records the result.</x:v>
      </x:c>
      <x:c r="F112" s="28" t="str">
        <x:v>Must Pass</x:v>
      </x:c>
      <x:c r="G112" s="28" t="str">
        <x:v>Engineering Lead</x:v>
      </x:c>
    </x:row>
    <x:row r="113">
      <x:c r="A113" s="28" t="str">
        <x:v>US030</x:v>
      </x:c>
      <x:c r="B113" s="28" t="str">
        <x:v>E10</x:v>
      </x:c>
      <x:c r="C113" s="28" t="str">
        <x:v>AC2</x:v>
      </x:c>
      <x:c r="D113" s="28" t="str">
        <x:v>Traceability</x:v>
      </x:c>
      <x:c r="E113" s="28" t="str">
        <x:v>The action must be linked to the mapped step S10, epic E10, story US030, owner and timestamp.</x:v>
      </x:c>
      <x:c r="F113" s="28" t="str">
        <x:v>Must Pass</x:v>
      </x:c>
      <x:c r="G113" s="28" t="str">
        <x:v>Engineering Lead</x:v>
      </x:c>
    </x:row>
    <x:row r="114">
      <x:c r="A114" s="28" t="str">
        <x:v>US030</x:v>
      </x:c>
      <x:c r="B114" s="28" t="str">
        <x:v>E10</x:v>
      </x:c>
      <x:c r="C114" s="28" t="str">
        <x:v>AC3</x:v>
      </x:c>
      <x:c r="D114" s="28" t="str">
        <x:v>Quality / UX</x:v>
      </x:c>
      <x:c r="E114" s="28" t="str">
        <x:v>The interface must show clear status, errors and next action without requiring the user to search another tool.</x:v>
      </x:c>
      <x:c r="F114" s="28" t="str">
        <x:v>Should Pass</x:v>
      </x:c>
      <x:c r="G114" s="28" t="str">
        <x:v>Engineering Lead</x:v>
      </x:c>
    </x:row>
    <x:row r="115">
      <x:c r="A115" s="28" t="str">
        <x:v>US030</x:v>
      </x:c>
      <x:c r="B115" s="28" t="str">
        <x:v>E10</x:v>
      </x:c>
      <x:c r="C115" s="28" t="str">
        <x:v>AC4</x:v>
      </x:c>
      <x:c r="D115" s="28" t="str">
        <x:v>Security / Audit</x:v>
      </x:c>
      <x:c r="E115" s="28" t="str">
        <x:v>Role-based access and audit log entry must be applied for create, update and approval actions.</x:v>
      </x:c>
      <x:c r="F115" s="28" t="str">
        <x:v>Must Pass</x:v>
      </x:c>
      <x:c r="G115" s="28" t="str">
        <x:v>Security / PMO</x:v>
      </x:c>
    </x:row>
    <x:row r="116">
      <x:c r="A116" s="28" t="str">
        <x:v>US031</x:v>
      </x:c>
      <x:c r="B116" s="28" t="str">
        <x:v>E11</x:v>
      </x:c>
      <x:c r="C116" s="28" t="str">
        <x:v>AC1</x:v>
      </x:c>
      <x:c r="D116" s="28" t="str">
        <x:v>Functional</x:v>
      </x:c>
      <x:c r="E116" s="28" t="str">
        <x:v>Given the user is in the Validation module, when they compare built output against acceptance criteria, then the system completes the action and records the result.</x:v>
      </x:c>
      <x:c r="F116" s="28" t="str">
        <x:v>Must Pass</x:v>
      </x:c>
      <x:c r="G116" s="28" t="str">
        <x:v>QA</x:v>
      </x:c>
    </x:row>
    <x:row r="117">
      <x:c r="A117" s="28" t="str">
        <x:v>US031</x:v>
      </x:c>
      <x:c r="B117" s="28" t="str">
        <x:v>E11</x:v>
      </x:c>
      <x:c r="C117" s="28" t="str">
        <x:v>AC2</x:v>
      </x:c>
      <x:c r="D117" s="28" t="str">
        <x:v>Traceability</x:v>
      </x:c>
      <x:c r="E117" s="28" t="str">
        <x:v>The action must be linked to the mapped step S11, epic E11, story US031, owner and timestamp.</x:v>
      </x:c>
      <x:c r="F117" s="28" t="str">
        <x:v>Must Pass</x:v>
      </x:c>
      <x:c r="G117" s="28" t="str">
        <x:v>QA</x:v>
      </x:c>
    </x:row>
    <x:row r="118">
      <x:c r="A118" s="28" t="str">
        <x:v>US031</x:v>
      </x:c>
      <x:c r="B118" s="28" t="str">
        <x:v>E11</x:v>
      </x:c>
      <x:c r="C118" s="28" t="str">
        <x:v>AC3</x:v>
      </x:c>
      <x:c r="D118" s="28" t="str">
        <x:v>Quality / UX</x:v>
      </x:c>
      <x:c r="E118" s="28" t="str">
        <x:v>The interface must show clear status, errors and next action without requiring the user to search another tool.</x:v>
      </x:c>
      <x:c r="F118" s="28" t="str">
        <x:v>Should Pass</x:v>
      </x:c>
      <x:c r="G118" s="28" t="str">
        <x:v>QA</x:v>
      </x:c>
    </x:row>
    <x:row r="119">
      <x:c r="A119" s="28" t="str">
        <x:v>US031</x:v>
      </x:c>
      <x:c r="B119" s="28" t="str">
        <x:v>E11</x:v>
      </x:c>
      <x:c r="C119" s="28" t="str">
        <x:v>AC4</x:v>
      </x:c>
      <x:c r="D119" s="28" t="str">
        <x:v>Security / Audit</x:v>
      </x:c>
      <x:c r="E119" s="28" t="str">
        <x:v>Role-based access and audit log entry must be applied for create, update and approval actions.</x:v>
      </x:c>
      <x:c r="F119" s="28" t="str">
        <x:v>Must Pass</x:v>
      </x:c>
      <x:c r="G119" s="28" t="str">
        <x:v>Security / PMO</x:v>
      </x:c>
    </x:row>
    <x:row r="120">
      <x:c r="A120" s="28" t="str">
        <x:v>US032</x:v>
      </x:c>
      <x:c r="B120" s="28" t="str">
        <x:v>E11</x:v>
      </x:c>
      <x:c r="C120" s="28" t="str">
        <x:v>AC1</x:v>
      </x:c>
      <x:c r="D120" s="28" t="str">
        <x:v>Functional</x:v>
      </x:c>
      <x:c r="E120" s="28" t="str">
        <x:v>Given the user is in the Validation module, when they run automated test coverage mapping, then the system completes the action and records the result.</x:v>
      </x:c>
      <x:c r="F120" s="28" t="str">
        <x:v>Must Pass</x:v>
      </x:c>
      <x:c r="G120" s="28" t="str">
        <x:v>Engineering Lead</x:v>
      </x:c>
    </x:row>
    <x:row r="121">
      <x:c r="A121" s="28" t="str">
        <x:v>US032</x:v>
      </x:c>
      <x:c r="B121" s="28" t="str">
        <x:v>E11</x:v>
      </x:c>
      <x:c r="C121" s="28" t="str">
        <x:v>AC2</x:v>
      </x:c>
      <x:c r="D121" s="28" t="str">
        <x:v>Traceability</x:v>
      </x:c>
      <x:c r="E121" s="28" t="str">
        <x:v>The action must be linked to the mapped step S11, epic E11, story US032, owner and timestamp.</x:v>
      </x:c>
      <x:c r="F121" s="28" t="str">
        <x:v>Must Pass</x:v>
      </x:c>
      <x:c r="G121" s="28" t="str">
        <x:v>Engineering Lead</x:v>
      </x:c>
    </x:row>
    <x:row r="122">
      <x:c r="A122" s="28" t="str">
        <x:v>US032</x:v>
      </x:c>
      <x:c r="B122" s="28" t="str">
        <x:v>E11</x:v>
      </x:c>
      <x:c r="C122" s="28" t="str">
        <x:v>AC3</x:v>
      </x:c>
      <x:c r="D122" s="28" t="str">
        <x:v>Quality / UX</x:v>
      </x:c>
      <x:c r="E122" s="28" t="str">
        <x:v>The interface must show clear status, errors and next action without requiring the user to search another tool.</x:v>
      </x:c>
      <x:c r="F122" s="28" t="str">
        <x:v>Should Pass</x:v>
      </x:c>
      <x:c r="G122" s="28" t="str">
        <x:v>Engineering Lead</x:v>
      </x:c>
    </x:row>
    <x:row r="123">
      <x:c r="A123" s="28" t="str">
        <x:v>US032</x:v>
      </x:c>
      <x:c r="B123" s="28" t="str">
        <x:v>E11</x:v>
      </x:c>
      <x:c r="C123" s="28" t="str">
        <x:v>AC4</x:v>
      </x:c>
      <x:c r="D123" s="28" t="str">
        <x:v>Security / Audit</x:v>
      </x:c>
      <x:c r="E123" s="28" t="str">
        <x:v>Role-based access and audit log entry must be applied for create, update and approval actions.</x:v>
      </x:c>
      <x:c r="F123" s="28" t="str">
        <x:v>Must Pass</x:v>
      </x:c>
      <x:c r="G123" s="28" t="str">
        <x:v>Security / PMO</x:v>
      </x:c>
    </x:row>
    <x:row r="124">
      <x:c r="A124" s="28" t="str">
        <x:v>US033</x:v>
      </x:c>
      <x:c r="B124" s="28" t="str">
        <x:v>E11</x:v>
      </x:c>
      <x:c r="C124" s="28" t="str">
        <x:v>AC1</x:v>
      </x:c>
      <x:c r="D124" s="28" t="str">
        <x:v>Functional</x:v>
      </x:c>
      <x:c r="E124" s="28" t="str">
        <x:v>Given the user is in the Validation module, when they run security checks on implementation, then the system completes the action and records the result.</x:v>
      </x:c>
      <x:c r="F124" s="28" t="str">
        <x:v>Must Pass</x:v>
      </x:c>
      <x:c r="G124" s="28" t="str">
        <x:v>Security</x:v>
      </x:c>
    </x:row>
    <x:row r="125">
      <x:c r="A125" s="28" t="str">
        <x:v>US033</x:v>
      </x:c>
      <x:c r="B125" s="28" t="str">
        <x:v>E11</x:v>
      </x:c>
      <x:c r="C125" s="28" t="str">
        <x:v>AC2</x:v>
      </x:c>
      <x:c r="D125" s="28" t="str">
        <x:v>Traceability</x:v>
      </x:c>
      <x:c r="E125" s="28" t="str">
        <x:v>The action must be linked to the mapped step S11, epic E11, story US033, owner and timestamp.</x:v>
      </x:c>
      <x:c r="F125" s="28" t="str">
        <x:v>Must Pass</x:v>
      </x:c>
      <x:c r="G125" s="28" t="str">
        <x:v>Security</x:v>
      </x:c>
    </x:row>
    <x:row r="126">
      <x:c r="A126" s="28" t="str">
        <x:v>US033</x:v>
      </x:c>
      <x:c r="B126" s="28" t="str">
        <x:v>E11</x:v>
      </x:c>
      <x:c r="C126" s="28" t="str">
        <x:v>AC3</x:v>
      </x:c>
      <x:c r="D126" s="28" t="str">
        <x:v>Quality / UX</x:v>
      </x:c>
      <x:c r="E126" s="28" t="str">
        <x:v>The interface must show clear status, errors and next action without requiring the user to search another tool.</x:v>
      </x:c>
      <x:c r="F126" s="28" t="str">
        <x:v>Should Pass</x:v>
      </x:c>
      <x:c r="G126" s="28" t="str">
        <x:v>Security</x:v>
      </x:c>
    </x:row>
    <x:row r="127">
      <x:c r="A127" s="28" t="str">
        <x:v>US033</x:v>
      </x:c>
      <x:c r="B127" s="28" t="str">
        <x:v>E11</x:v>
      </x:c>
      <x:c r="C127" s="28" t="str">
        <x:v>AC4</x:v>
      </x:c>
      <x:c r="D127" s="28" t="str">
        <x:v>Security / Audit</x:v>
      </x:c>
      <x:c r="E127" s="28" t="str">
        <x:v>Role-based access and audit log entry must be applied for create, update and approval actions.</x:v>
      </x:c>
      <x:c r="F127" s="28" t="str">
        <x:v>Must Pass</x:v>
      </x:c>
      <x:c r="G127" s="28" t="str">
        <x:v>Security / PMO</x:v>
      </x:c>
    </x:row>
    <x:row r="128">
      <x:c r="A128" s="28" t="str">
        <x:v>US034</x:v>
      </x:c>
      <x:c r="B128" s="28" t="str">
        <x:v>E12</x:v>
      </x:c>
      <x:c r="C128" s="28" t="str">
        <x:v>AC1</x:v>
      </x:c>
      <x:c r="D128" s="28" t="str">
        <x:v>Functional</x:v>
      </x:c>
      <x:c r="E128" s="28" t="str">
        <x:v>Given the user is in the Traceability module, when they see if code matches requirements, then the system completes the action and records the result.</x:v>
      </x:c>
      <x:c r="F128" s="28" t="str">
        <x:v>Must Pass</x:v>
      </x:c>
      <x:c r="G128" s="28" t="str">
        <x:v>Product Manager</x:v>
      </x:c>
    </x:row>
    <x:row r="129">
      <x:c r="A129" s="28" t="str">
        <x:v>US034</x:v>
      </x:c>
      <x:c r="B129" s="28" t="str">
        <x:v>E12</x:v>
      </x:c>
      <x:c r="C129" s="28" t="str">
        <x:v>AC2</x:v>
      </x:c>
      <x:c r="D129" s="28" t="str">
        <x:v>Traceability</x:v>
      </x:c>
      <x:c r="E129" s="28" t="str">
        <x:v>The action must be linked to the mapped step S12, epic E12, story US034, owner and timestamp.</x:v>
      </x:c>
      <x:c r="F129" s="28" t="str">
        <x:v>Must Pass</x:v>
      </x:c>
      <x:c r="G129" s="28" t="str">
        <x:v>Product Manager</x:v>
      </x:c>
    </x:row>
    <x:row r="130">
      <x:c r="A130" s="28" t="str">
        <x:v>US034</x:v>
      </x:c>
      <x:c r="B130" s="28" t="str">
        <x:v>E12</x:v>
      </x:c>
      <x:c r="C130" s="28" t="str">
        <x:v>AC3</x:v>
      </x:c>
      <x:c r="D130" s="28" t="str">
        <x:v>Quality / UX</x:v>
      </x:c>
      <x:c r="E130" s="28" t="str">
        <x:v>The interface must show clear status, errors and next action without requiring the user to search another tool.</x:v>
      </x:c>
      <x:c r="F130" s="28" t="str">
        <x:v>Should Pass</x:v>
      </x:c>
      <x:c r="G130" s="28" t="str">
        <x:v>Product Manager</x:v>
      </x:c>
    </x:row>
    <x:row r="131">
      <x:c r="A131" s="28" t="str">
        <x:v>US034</x:v>
      </x:c>
      <x:c r="B131" s="28" t="str">
        <x:v>E12</x:v>
      </x:c>
      <x:c r="C131" s="28" t="str">
        <x:v>AC4</x:v>
      </x:c>
      <x:c r="D131" s="28" t="str">
        <x:v>Security / Audit</x:v>
      </x:c>
      <x:c r="E131" s="28" t="str">
        <x:v>Role-based access and audit log entry must be applied for create, update and approval actions.</x:v>
      </x:c>
      <x:c r="F131" s="28" t="str">
        <x:v>Must Pass</x:v>
      </x:c>
      <x:c r="G131" s="28" t="str">
        <x:v>Security / PMO</x:v>
      </x:c>
    </x:row>
    <x:row r="132">
      <x:c r="A132" s="28" t="str">
        <x:v>US035</x:v>
      </x:c>
      <x:c r="B132" s="28" t="str">
        <x:v>E12</x:v>
      </x:c>
      <x:c r="C132" s="28" t="str">
        <x:v>AC1</x:v>
      </x:c>
      <x:c r="D132" s="28" t="str">
        <x:v>Functional</x:v>
      </x:c>
      <x:c r="E132" s="28" t="str">
        <x:v>Given the user is in the Traceability module, when they trace every user story back to a business requirement, then the system completes the action and records the result.</x:v>
      </x:c>
      <x:c r="F132" s="28" t="str">
        <x:v>Must Pass</x:v>
      </x:c>
      <x:c r="G132" s="28" t="str">
        <x:v>BA</x:v>
      </x:c>
    </x:row>
    <x:row r="133">
      <x:c r="A133" s="28" t="str">
        <x:v>US035</x:v>
      </x:c>
      <x:c r="B133" s="28" t="str">
        <x:v>E12</x:v>
      </x:c>
      <x:c r="C133" s="28" t="str">
        <x:v>AC2</x:v>
      </x:c>
      <x:c r="D133" s="28" t="str">
        <x:v>Traceability</x:v>
      </x:c>
      <x:c r="E133" s="28" t="str">
        <x:v>The action must be linked to the mapped step S12, epic E12, story US035, owner and timestamp.</x:v>
      </x:c>
      <x:c r="F133" s="28" t="str">
        <x:v>Must Pass</x:v>
      </x:c>
      <x:c r="G133" s="28" t="str">
        <x:v>BA</x:v>
      </x:c>
    </x:row>
    <x:row r="134">
      <x:c r="A134" s="28" t="str">
        <x:v>US035</x:v>
      </x:c>
      <x:c r="B134" s="28" t="str">
        <x:v>E12</x:v>
      </x:c>
      <x:c r="C134" s="28" t="str">
        <x:v>AC3</x:v>
      </x:c>
      <x:c r="D134" s="28" t="str">
        <x:v>Quality / UX</x:v>
      </x:c>
      <x:c r="E134" s="28" t="str">
        <x:v>The interface must show clear status, errors and next action without requiring the user to search another tool.</x:v>
      </x:c>
      <x:c r="F134" s="28" t="str">
        <x:v>Should Pass</x:v>
      </x:c>
      <x:c r="G134" s="28" t="str">
        <x:v>BA</x:v>
      </x:c>
    </x:row>
    <x:row r="135">
      <x:c r="A135" s="28" t="str">
        <x:v>US035</x:v>
      </x:c>
      <x:c r="B135" s="28" t="str">
        <x:v>E12</x:v>
      </x:c>
      <x:c r="C135" s="28" t="str">
        <x:v>AC4</x:v>
      </x:c>
      <x:c r="D135" s="28" t="str">
        <x:v>Security / Audit</x:v>
      </x:c>
      <x:c r="E135" s="28" t="str">
        <x:v>Role-based access and audit log entry must be applied for create, update and approval actions.</x:v>
      </x:c>
      <x:c r="F135" s="28" t="str">
        <x:v>Must Pass</x:v>
      </x:c>
      <x:c r="G135" s="28" t="str">
        <x:v>Security / PMO</x:v>
      </x:c>
    </x:row>
    <x:row r="136">
      <x:c r="A136" s="28" t="str">
        <x:v>US036</x:v>
      </x:c>
      <x:c r="B136" s="28" t="str">
        <x:v>E12</x:v>
      </x:c>
      <x:c r="C136" s="28" t="str">
        <x:v>AC1</x:v>
      </x:c>
      <x:c r="D136" s="28" t="str">
        <x:v>Functional</x:v>
      </x:c>
      <x:c r="E136" s="28" t="str">
        <x:v>Given the user is in the Traceability module, when they detect gaps across requirements, code and tests, then the system completes the action and records the result.</x:v>
      </x:c>
      <x:c r="F136" s="28" t="str">
        <x:v>Must Pass</x:v>
      </x:c>
      <x:c r="G136" s="28" t="str">
        <x:v>PMO</x:v>
      </x:c>
    </x:row>
    <x:row r="137">
      <x:c r="A137" s="28" t="str">
        <x:v>US036</x:v>
      </x:c>
      <x:c r="B137" s="28" t="str">
        <x:v>E12</x:v>
      </x:c>
      <x:c r="C137" s="28" t="str">
        <x:v>AC2</x:v>
      </x:c>
      <x:c r="D137" s="28" t="str">
        <x:v>Traceability</x:v>
      </x:c>
      <x:c r="E137" s="28" t="str">
        <x:v>The action must be linked to the mapped step S12, epic E12, story US036, owner and timestamp.</x:v>
      </x:c>
      <x:c r="F137" s="28" t="str">
        <x:v>Must Pass</x:v>
      </x:c>
      <x:c r="G137" s="28" t="str">
        <x:v>PMO</x:v>
      </x:c>
    </x:row>
    <x:row r="138">
      <x:c r="A138" s="28" t="str">
        <x:v>US036</x:v>
      </x:c>
      <x:c r="B138" s="28" t="str">
        <x:v>E12</x:v>
      </x:c>
      <x:c r="C138" s="28" t="str">
        <x:v>AC3</x:v>
      </x:c>
      <x:c r="D138" s="28" t="str">
        <x:v>Quality / UX</x:v>
      </x:c>
      <x:c r="E138" s="28" t="str">
        <x:v>The interface must show clear status, errors and next action without requiring the user to search another tool.</x:v>
      </x:c>
      <x:c r="F138" s="28" t="str">
        <x:v>Should Pass</x:v>
      </x:c>
      <x:c r="G138" s="28" t="str">
        <x:v>PMO</x:v>
      </x:c>
    </x:row>
    <x:row r="139">
      <x:c r="A139" s="28" t="str">
        <x:v>US036</x:v>
      </x:c>
      <x:c r="B139" s="28" t="str">
        <x:v>E12</x:v>
      </x:c>
      <x:c r="C139" s="28" t="str">
        <x:v>AC4</x:v>
      </x:c>
      <x:c r="D139" s="28" t="str">
        <x:v>Security / Audit</x:v>
      </x:c>
      <x:c r="E139" s="28" t="str">
        <x:v>Role-based access and audit log entry must be applied for create, update and approval actions.</x:v>
      </x:c>
      <x:c r="F139" s="28" t="str">
        <x:v>Must Pass</x:v>
      </x:c>
      <x:c r="G139" s="28" t="str">
        <x:v>Security / PMO</x:v>
      </x:c>
    </x:row>
    <x:row r="140">
      <x:c r="A140" s="28" t="str">
        <x:v>US037</x:v>
      </x:c>
      <x:c r="B140" s="28" t="str">
        <x:v>E13</x:v>
      </x:c>
      <x:c r="C140" s="28" t="str">
        <x:v>AC1</x:v>
      </x:c>
      <x:c r="D140" s="28" t="str">
        <x:v>Functional</x:v>
      </x:c>
      <x:c r="E140" s="28" t="str">
        <x:v>Given the user is in the Meetings module, when they capture daily standup notes, then the system completes the action and records the result.</x:v>
      </x:c>
      <x:c r="F140" s="28" t="str">
        <x:v>Must Pass</x:v>
      </x:c>
      <x:c r="G140" s="28" t="str">
        <x:v>Scrum Master</x:v>
      </x:c>
    </x:row>
    <x:row r="141">
      <x:c r="A141" s="28" t="str">
        <x:v>US037</x:v>
      </x:c>
      <x:c r="B141" s="28" t="str">
        <x:v>E13</x:v>
      </x:c>
      <x:c r="C141" s="28" t="str">
        <x:v>AC2</x:v>
      </x:c>
      <x:c r="D141" s="28" t="str">
        <x:v>Traceability</x:v>
      </x:c>
      <x:c r="E141" s="28" t="str">
        <x:v>The action must be linked to the mapped step S16, epic E13, story US037, owner and timestamp.</x:v>
      </x:c>
      <x:c r="F141" s="28" t="str">
        <x:v>Must Pass</x:v>
      </x:c>
      <x:c r="G141" s="28" t="str">
        <x:v>Scrum Master</x:v>
      </x:c>
    </x:row>
    <x:row r="142">
      <x:c r="A142" s="28" t="str">
        <x:v>US037</x:v>
      </x:c>
      <x:c r="B142" s="28" t="str">
        <x:v>E13</x:v>
      </x:c>
      <x:c r="C142" s="28" t="str">
        <x:v>AC3</x:v>
      </x:c>
      <x:c r="D142" s="28" t="str">
        <x:v>Quality / UX</x:v>
      </x:c>
      <x:c r="E142" s="28" t="str">
        <x:v>The interface must show clear status, errors and next action without requiring the user to search another tool.</x:v>
      </x:c>
      <x:c r="F142" s="28" t="str">
        <x:v>Should Pass</x:v>
      </x:c>
      <x:c r="G142" s="28" t="str">
        <x:v>Scrum Master</x:v>
      </x:c>
    </x:row>
    <x:row r="143">
      <x:c r="A143" s="28" t="str">
        <x:v>US038</x:v>
      </x:c>
      <x:c r="B143" s="28" t="str">
        <x:v>E13</x:v>
      </x:c>
      <x:c r="C143" s="28" t="str">
        <x:v>AC1</x:v>
      </x:c>
      <x:c r="D143" s="28" t="str">
        <x:v>Functional</x:v>
      </x:c>
      <x:c r="E143" s="28" t="str">
        <x:v>Given the user is in the Meetings module, when they map meeting updates to user stories, then the system completes the action and records the result.</x:v>
      </x:c>
      <x:c r="F143" s="28" t="str">
        <x:v>Must Pass</x:v>
      </x:c>
      <x:c r="G143" s="28" t="str">
        <x:v>PM</x:v>
      </x:c>
    </x:row>
    <x:row r="144">
      <x:c r="A144" s="28" t="str">
        <x:v>US038</x:v>
      </x:c>
      <x:c r="B144" s="28" t="str">
        <x:v>E13</x:v>
      </x:c>
      <x:c r="C144" s="28" t="str">
        <x:v>AC2</x:v>
      </x:c>
      <x:c r="D144" s="28" t="str">
        <x:v>Traceability</x:v>
      </x:c>
      <x:c r="E144" s="28" t="str">
        <x:v>The action must be linked to the mapped step S16, epic E13, story US038, owner and timestamp.</x:v>
      </x:c>
      <x:c r="F144" s="28" t="str">
        <x:v>Must Pass</x:v>
      </x:c>
      <x:c r="G144" s="28" t="str">
        <x:v>PM</x:v>
      </x:c>
    </x:row>
    <x:row r="145">
      <x:c r="A145" s="28" t="str">
        <x:v>US038</x:v>
      </x:c>
      <x:c r="B145" s="28" t="str">
        <x:v>E13</x:v>
      </x:c>
      <x:c r="C145" s="28" t="str">
        <x:v>AC3</x:v>
      </x:c>
      <x:c r="D145" s="28" t="str">
        <x:v>Quality / UX</x:v>
      </x:c>
      <x:c r="E145" s="28" t="str">
        <x:v>The interface must show clear status, errors and next action without requiring the user to search another tool.</x:v>
      </x:c>
      <x:c r="F145" s="28" t="str">
        <x:v>Should Pass</x:v>
      </x:c>
      <x:c r="G145" s="28" t="str">
        <x:v>PM</x:v>
      </x:c>
    </x:row>
    <x:row r="146">
      <x:c r="A146" s="28" t="str">
        <x:v>US038</x:v>
      </x:c>
      <x:c r="B146" s="28" t="str">
        <x:v>E13</x:v>
      </x:c>
      <x:c r="C146" s="28" t="str">
        <x:v>AC4</x:v>
      </x:c>
      <x:c r="D146" s="28" t="str">
        <x:v>Security / Audit</x:v>
      </x:c>
      <x:c r="E146" s="28" t="str">
        <x:v>Role-based access and audit log entry must be applied for create, update and approval actions.</x:v>
      </x:c>
      <x:c r="F146" s="28" t="str">
        <x:v>Must Pass</x:v>
      </x:c>
      <x:c r="G146" s="28" t="str">
        <x:v>Security / PMO</x:v>
      </x:c>
    </x:row>
    <x:row r="147">
      <x:c r="A147" s="28" t="str">
        <x:v>US039</x:v>
      </x:c>
      <x:c r="B147" s="28" t="str">
        <x:v>E13</x:v>
      </x:c>
      <x:c r="C147" s="28" t="str">
        <x:v>AC1</x:v>
      </x:c>
      <x:c r="D147" s="28" t="str">
        <x:v>Functional</x:v>
      </x:c>
      <x:c r="E147" s="28" t="str">
        <x:v>Given the user is in the Risk module, when they extract risks from meetings, then the system completes the action and records the result.</x:v>
      </x:c>
      <x:c r="F147" s="28" t="str">
        <x:v>Must Pass</x:v>
      </x:c>
      <x:c r="G147" s="28" t="str">
        <x:v>PM</x:v>
      </x:c>
    </x:row>
    <x:row r="148">
      <x:c r="A148" s="28" t="str">
        <x:v>US039</x:v>
      </x:c>
      <x:c r="B148" s="28" t="str">
        <x:v>E13</x:v>
      </x:c>
      <x:c r="C148" s="28" t="str">
        <x:v>AC2</x:v>
      </x:c>
      <x:c r="D148" s="28" t="str">
        <x:v>Traceability</x:v>
      </x:c>
      <x:c r="E148" s="28" t="str">
        <x:v>The action must be linked to the mapped step S16, epic E13, story US039, owner and timestamp.</x:v>
      </x:c>
      <x:c r="F148" s="28" t="str">
        <x:v>Must Pass</x:v>
      </x:c>
      <x:c r="G148" s="28" t="str">
        <x:v>PM</x:v>
      </x:c>
    </x:row>
    <x:row r="149">
      <x:c r="A149" s="28" t="str">
        <x:v>US039</x:v>
      </x:c>
      <x:c r="B149" s="28" t="str">
        <x:v>E13</x:v>
      </x:c>
      <x:c r="C149" s="28" t="str">
        <x:v>AC3</x:v>
      </x:c>
      <x:c r="D149" s="28" t="str">
        <x:v>Quality / UX</x:v>
      </x:c>
      <x:c r="E149" s="28" t="str">
        <x:v>The interface must show clear status, errors and next action without requiring the user to search another tool.</x:v>
      </x:c>
      <x:c r="F149" s="28" t="str">
        <x:v>Should Pass</x:v>
      </x:c>
      <x:c r="G149" s="28" t="str">
        <x:v>PM</x:v>
      </x:c>
    </x:row>
    <x:row r="150">
      <x:c r="A150" s="28" t="str">
        <x:v>US039</x:v>
      </x:c>
      <x:c r="B150" s="28" t="str">
        <x:v>E13</x:v>
      </x:c>
      <x:c r="C150" s="28" t="str">
        <x:v>AC4</x:v>
      </x:c>
      <x:c r="D150" s="28" t="str">
        <x:v>Security / Audit</x:v>
      </x:c>
      <x:c r="E150" s="28" t="str">
        <x:v>Role-based access and audit log entry must be applied for create, update and approval actions.</x:v>
      </x:c>
      <x:c r="F150" s="28" t="str">
        <x:v>Must Pass</x:v>
      </x:c>
      <x:c r="G150" s="28" t="str">
        <x:v>Security / PMO</x:v>
      </x:c>
    </x:row>
    <x:row r="151">
      <x:c r="A151" s="28" t="str">
        <x:v>US040</x:v>
      </x:c>
      <x:c r="B151" s="28" t="str">
        <x:v>E14</x:v>
      </x:c>
      <x:c r="C151" s="28" t="str">
        <x:v>AC1</x:v>
      </x:c>
      <x:c r="D151" s="28" t="str">
        <x:v>Functional</x:v>
      </x:c>
      <x:c r="E151" s="28" t="str">
        <x:v>Given the user is in the Reporting module, when they receive a weekly executive progress card, then the system completes the action and records the result.</x:v>
      </x:c>
      <x:c r="F151" s="28" t="str">
        <x:v>Must Pass</x:v>
      </x:c>
      <x:c r="G151" s="28" t="str">
        <x:v>PM</x:v>
      </x:c>
    </x:row>
    <x:row r="152">
      <x:c r="A152" s="28" t="str">
        <x:v>US040</x:v>
      </x:c>
      <x:c r="B152" s="28" t="str">
        <x:v>E14</x:v>
      </x:c>
      <x:c r="C152" s="28" t="str">
        <x:v>AC2</x:v>
      </x:c>
      <x:c r="D152" s="28" t="str">
        <x:v>Traceability</x:v>
      </x:c>
      <x:c r="E152" s="28" t="str">
        <x:v>The action must be linked to the mapped step S16, epic E14, story US040, owner and timestamp.</x:v>
      </x:c>
      <x:c r="F152" s="28" t="str">
        <x:v>Must Pass</x:v>
      </x:c>
      <x:c r="G152" s="28" t="str">
        <x:v>PM</x:v>
      </x:c>
    </x:row>
    <x:row r="153">
      <x:c r="A153" s="28" t="str">
        <x:v>US040</x:v>
      </x:c>
      <x:c r="B153" s="28" t="str">
        <x:v>E14</x:v>
      </x:c>
      <x:c r="C153" s="28" t="str">
        <x:v>AC3</x:v>
      </x:c>
      <x:c r="D153" s="28" t="str">
        <x:v>Quality / UX</x:v>
      </x:c>
      <x:c r="E153" s="28" t="str">
        <x:v>The interface must show clear status, errors and next action without requiring the user to search another tool.</x:v>
      </x:c>
      <x:c r="F153" s="28" t="str">
        <x:v>Should Pass</x:v>
      </x:c>
      <x:c r="G153" s="28" t="str">
        <x:v>PM</x:v>
      </x:c>
    </x:row>
    <x:row r="154">
      <x:c r="A154" s="28" t="str">
        <x:v>US040</x:v>
      </x:c>
      <x:c r="B154" s="28" t="str">
        <x:v>E14</x:v>
      </x:c>
      <x:c r="C154" s="28" t="str">
        <x:v>AC4</x:v>
      </x:c>
      <x:c r="D154" s="28" t="str">
        <x:v>Security / Audit</x:v>
      </x:c>
      <x:c r="E154" s="28" t="str">
        <x:v>Role-based access and audit log entry must be applied for create, update and approval actions.</x:v>
      </x:c>
      <x:c r="F154" s="28" t="str">
        <x:v>Must Pass</x:v>
      </x:c>
      <x:c r="G154" s="28" t="str">
        <x:v>Security / PMO</x:v>
      </x:c>
    </x:row>
    <x:row r="155">
      <x:c r="A155" s="28" t="str">
        <x:v>US041</x:v>
      </x:c>
      <x:c r="B155" s="28" t="str">
        <x:v>E14</x:v>
      </x:c>
      <x:c r="C155" s="28" t="str">
        <x:v>AC1</x:v>
      </x:c>
      <x:c r="D155" s="28" t="str">
        <x:v>Functional</x:v>
      </x:c>
      <x:c r="E155" s="28" t="str">
        <x:v>Given the user is in the Reporting module, when they receive product progress metrics, then the system completes the action and records the result.</x:v>
      </x:c>
      <x:c r="F155" s="28" t="str">
        <x:v>Must Pass</x:v>
      </x:c>
      <x:c r="G155" s="28" t="str">
        <x:v>Product Manager</x:v>
      </x:c>
    </x:row>
    <x:row r="156">
      <x:c r="A156" s="28" t="str">
        <x:v>US041</x:v>
      </x:c>
      <x:c r="B156" s="28" t="str">
        <x:v>E14</x:v>
      </x:c>
      <x:c r="C156" s="28" t="str">
        <x:v>AC2</x:v>
      </x:c>
      <x:c r="D156" s="28" t="str">
        <x:v>Traceability</x:v>
      </x:c>
      <x:c r="E156" s="28" t="str">
        <x:v>The action must be linked to the mapped step S15, epic E14, story US041, owner and timestamp.</x:v>
      </x:c>
      <x:c r="F156" s="28" t="str">
        <x:v>Must Pass</x:v>
      </x:c>
      <x:c r="G156" s="28" t="str">
        <x:v>Product Manager</x:v>
      </x:c>
    </x:row>
    <x:row r="157">
      <x:c r="A157" s="28" t="str">
        <x:v>US041</x:v>
      </x:c>
      <x:c r="B157" s="28" t="str">
        <x:v>E14</x:v>
      </x:c>
      <x:c r="C157" s="28" t="str">
        <x:v>AC3</x:v>
      </x:c>
      <x:c r="D157" s="28" t="str">
        <x:v>Quality / UX</x:v>
      </x:c>
      <x:c r="E157" s="28" t="str">
        <x:v>The interface must show clear status, errors and next action without requiring the user to search another tool.</x:v>
      </x:c>
      <x:c r="F157" s="28" t="str">
        <x:v>Should Pass</x:v>
      </x:c>
      <x:c r="G157" s="28" t="str">
        <x:v>Product Manager</x:v>
      </x:c>
    </x:row>
    <x:row r="158">
      <x:c r="A158" s="28" t="str">
        <x:v>US041</x:v>
      </x:c>
      <x:c r="B158" s="28" t="str">
        <x:v>E14</x:v>
      </x:c>
      <x:c r="C158" s="28" t="str">
        <x:v>AC4</x:v>
      </x:c>
      <x:c r="D158" s="28" t="str">
        <x:v>Security / Audit</x:v>
      </x:c>
      <x:c r="E158" s="28" t="str">
        <x:v>Role-based access and audit log entry must be applied for create, update and approval actions.</x:v>
      </x:c>
      <x:c r="F158" s="28" t="str">
        <x:v>Must Pass</x:v>
      </x:c>
      <x:c r="G158" s="28" t="str">
        <x:v>Security / PMO</x:v>
      </x:c>
    </x:row>
    <x:row r="159">
      <x:c r="A159" s="28" t="str">
        <x:v>US042</x:v>
      </x:c>
      <x:c r="B159" s="28" t="str">
        <x:v>E14</x:v>
      </x:c>
      <x:c r="C159" s="28" t="str">
        <x:v>AC1</x:v>
      </x:c>
      <x:c r="D159" s="28" t="str">
        <x:v>Functional</x:v>
      </x:c>
      <x:c r="E159" s="28" t="str">
        <x:v>Given the user is in the Reporting module, when they receive engineering delivery metrics, then the system completes the action and records the result.</x:v>
      </x:c>
      <x:c r="F159" s="28" t="str">
        <x:v>Must Pass</x:v>
      </x:c>
      <x:c r="G159" s="28" t="str">
        <x:v>Engineering Lead</x:v>
      </x:c>
    </x:row>
    <x:row r="160">
      <x:c r="A160" s="28" t="str">
        <x:v>US042</x:v>
      </x:c>
      <x:c r="B160" s="28" t="str">
        <x:v>E14</x:v>
      </x:c>
      <x:c r="C160" s="28" t="str">
        <x:v>AC2</x:v>
      </x:c>
      <x:c r="D160" s="28" t="str">
        <x:v>Traceability</x:v>
      </x:c>
      <x:c r="E160" s="28" t="str">
        <x:v>The action must be linked to the mapped step S15, epic E14, story US042, owner and timestamp.</x:v>
      </x:c>
      <x:c r="F160" s="28" t="str">
        <x:v>Must Pass</x:v>
      </x:c>
      <x:c r="G160" s="28" t="str">
        <x:v>Engineering Lead</x:v>
      </x:c>
    </x:row>
    <x:row r="161">
      <x:c r="A161" s="28" t="str">
        <x:v>US042</x:v>
      </x:c>
      <x:c r="B161" s="28" t="str">
        <x:v>E14</x:v>
      </x:c>
      <x:c r="C161" s="28" t="str">
        <x:v>AC3</x:v>
      </x:c>
      <x:c r="D161" s="28" t="str">
        <x:v>Quality / UX</x:v>
      </x:c>
      <x:c r="E161" s="28" t="str">
        <x:v>The interface must show clear status, errors and next action without requiring the user to search another tool.</x:v>
      </x:c>
      <x:c r="F161" s="28" t="str">
        <x:v>Should Pass</x:v>
      </x:c>
      <x:c r="G161" s="28" t="str">
        <x:v>Engineering Lead</x:v>
      </x:c>
    </x:row>
    <x:row r="162">
      <x:c r="A162" s="28" t="str">
        <x:v>US043</x:v>
      </x:c>
      <x:c r="B162" s="28" t="str">
        <x:v>E15</x:v>
      </x:c>
      <x:c r="C162" s="28" t="str">
        <x:v>AC1</x:v>
      </x:c>
      <x:c r="D162" s="28" t="str">
        <x:v>Functional</x:v>
      </x:c>
      <x:c r="E162" s="28" t="str">
        <x:v>Given the user is in the PMO module, when they track risks, assumptions, issues and dependencies, then the system completes the action and records the result.</x:v>
      </x:c>
      <x:c r="F162" s="28" t="str">
        <x:v>Must Pass</x:v>
      </x:c>
      <x:c r="G162" s="28" t="str">
        <x:v>PM</x:v>
      </x:c>
    </x:row>
    <x:row r="163">
      <x:c r="A163" s="28" t="str">
        <x:v>US043</x:v>
      </x:c>
      <x:c r="B163" s="28" t="str">
        <x:v>E15</x:v>
      </x:c>
      <x:c r="C163" s="28" t="str">
        <x:v>AC2</x:v>
      </x:c>
      <x:c r="D163" s="28" t="str">
        <x:v>Traceability</x:v>
      </x:c>
      <x:c r="E163" s="28" t="str">
        <x:v>The action must be linked to the mapped step S15, epic E15, story US043, owner and timestamp.</x:v>
      </x:c>
      <x:c r="F163" s="28" t="str">
        <x:v>Must Pass</x:v>
      </x:c>
      <x:c r="G163" s="28" t="str">
        <x:v>PM</x:v>
      </x:c>
    </x:row>
    <x:row r="164">
      <x:c r="A164" s="28" t="str">
        <x:v>US043</x:v>
      </x:c>
      <x:c r="B164" s="28" t="str">
        <x:v>E15</x:v>
      </x:c>
      <x:c r="C164" s="28" t="str">
        <x:v>AC3</x:v>
      </x:c>
      <x:c r="D164" s="28" t="str">
        <x:v>Quality / UX</x:v>
      </x:c>
      <x:c r="E164" s="28" t="str">
        <x:v>The interface must show clear status, errors and next action without requiring the user to search another tool.</x:v>
      </x:c>
      <x:c r="F164" s="28" t="str">
        <x:v>Should Pass</x:v>
      </x:c>
      <x:c r="G164" s="28" t="str">
        <x:v>PM</x:v>
      </x:c>
    </x:row>
    <x:row r="165">
      <x:c r="A165" s="28" t="str">
        <x:v>US043</x:v>
      </x:c>
      <x:c r="B165" s="28" t="str">
        <x:v>E15</x:v>
      </x:c>
      <x:c r="C165" s="28" t="str">
        <x:v>AC4</x:v>
      </x:c>
      <x:c r="D165" s="28" t="str">
        <x:v>Security / Audit</x:v>
      </x:c>
      <x:c r="E165" s="28" t="str">
        <x:v>Role-based access and audit log entry must be applied for create, update and approval actions.</x:v>
      </x:c>
      <x:c r="F165" s="28" t="str">
        <x:v>Must Pass</x:v>
      </x:c>
      <x:c r="G165" s="28" t="str">
        <x:v>Security / PMO</x:v>
      </x:c>
    </x:row>
    <x:row r="166">
      <x:c r="A166" s="28" t="str">
        <x:v>US044</x:v>
      </x:c>
      <x:c r="B166" s="28" t="str">
        <x:v>E15</x:v>
      </x:c>
      <x:c r="C166" s="28" t="str">
        <x:v>AC1</x:v>
      </x:c>
      <x:c r="D166" s="28" t="str">
        <x:v>Functional</x:v>
      </x:c>
      <x:c r="E166" s="28" t="str">
        <x:v>Given the user is in the PMO module, when they forecast delivery confidence, then the system completes the action and records the result.</x:v>
      </x:c>
      <x:c r="F166" s="28" t="str">
        <x:v>Must Pass</x:v>
      </x:c>
      <x:c r="G166" s="28" t="str">
        <x:v>PM</x:v>
      </x:c>
    </x:row>
    <x:row r="167">
      <x:c r="A167" s="28" t="str">
        <x:v>US044</x:v>
      </x:c>
      <x:c r="B167" s="28" t="str">
        <x:v>E15</x:v>
      </x:c>
      <x:c r="C167" s="28" t="str">
        <x:v>AC2</x:v>
      </x:c>
      <x:c r="D167" s="28" t="str">
        <x:v>Traceability</x:v>
      </x:c>
      <x:c r="E167" s="28" t="str">
        <x:v>The action must be linked to the mapped step S15, epic E15, story US044, owner and timestamp.</x:v>
      </x:c>
      <x:c r="F167" s="28" t="str">
        <x:v>Must Pass</x:v>
      </x:c>
      <x:c r="G167" s="28" t="str">
        <x:v>PM</x:v>
      </x:c>
    </x:row>
    <x:row r="168">
      <x:c r="A168" s="28" t="str">
        <x:v>US044</x:v>
      </x:c>
      <x:c r="B168" s="28" t="str">
        <x:v>E15</x:v>
      </x:c>
      <x:c r="C168" s="28" t="str">
        <x:v>AC3</x:v>
      </x:c>
      <x:c r="D168" s="28" t="str">
        <x:v>Quality / UX</x:v>
      </x:c>
      <x:c r="E168" s="28" t="str">
        <x:v>The interface must show clear status, errors and next action without requiring the user to search another tool.</x:v>
      </x:c>
      <x:c r="F168" s="28" t="str">
        <x:v>Should Pass</x:v>
      </x:c>
      <x:c r="G168" s="28" t="str">
        <x:v>PM</x:v>
      </x:c>
    </x:row>
    <x:row r="169">
      <x:c r="A169" s="28" t="str">
        <x:v>US044</x:v>
      </x:c>
      <x:c r="B169" s="28" t="str">
        <x:v>E15</x:v>
      </x:c>
      <x:c r="C169" s="28" t="str">
        <x:v>AC4</x:v>
      </x:c>
      <x:c r="D169" s="28" t="str">
        <x:v>Security / Audit</x:v>
      </x:c>
      <x:c r="E169" s="28" t="str">
        <x:v>Role-based access and audit log entry must be applied for create, update and approval actions.</x:v>
      </x:c>
      <x:c r="F169" s="28" t="str">
        <x:v>Must Pass</x:v>
      </x:c>
      <x:c r="G169" s="28" t="str">
        <x:v>Security / PMO</x:v>
      </x:c>
    </x:row>
    <x:row r="170">
      <x:c r="A170" s="28" t="str">
        <x:v>US045</x:v>
      </x:c>
      <x:c r="B170" s="28" t="str">
        <x:v>E15</x:v>
      </x:c>
      <x:c r="C170" s="28" t="str">
        <x:v>AC1</x:v>
      </x:c>
      <x:c r="D170" s="28" t="str">
        <x:v>Functional</x:v>
      </x:c>
      <x:c r="E170" s="28" t="str">
        <x:v>Given the user is in the Cost module, when they track cost by module and phase, then the system completes the action and records the result.</x:v>
      </x:c>
      <x:c r="F170" s="28" t="str">
        <x:v>Must Pass</x:v>
      </x:c>
      <x:c r="G170" s="28" t="str">
        <x:v>Finance</x:v>
      </x:c>
    </x:row>
    <x:row r="171">
      <x:c r="A171" s="28" t="str">
        <x:v>US045</x:v>
      </x:c>
      <x:c r="B171" s="28" t="str">
        <x:v>E15</x:v>
      </x:c>
      <x:c r="C171" s="28" t="str">
        <x:v>AC2</x:v>
      </x:c>
      <x:c r="D171" s="28" t="str">
        <x:v>Traceability</x:v>
      </x:c>
      <x:c r="E171" s="28" t="str">
        <x:v>The action must be linked to the mapped step S15, epic E15, story US045, owner and timestamp.</x:v>
      </x:c>
      <x:c r="F171" s="28" t="str">
        <x:v>Must Pass</x:v>
      </x:c>
      <x:c r="G171" s="28" t="str">
        <x:v>Finance</x:v>
      </x:c>
    </x:row>
    <x:row r="172">
      <x:c r="A172" s="28" t="str">
        <x:v>US045</x:v>
      </x:c>
      <x:c r="B172" s="28" t="str">
        <x:v>E15</x:v>
      </x:c>
      <x:c r="C172" s="28" t="str">
        <x:v>AC3</x:v>
      </x:c>
      <x:c r="D172" s="28" t="str">
        <x:v>Quality / UX</x:v>
      </x:c>
      <x:c r="E172" s="28" t="str">
        <x:v>The interface must show clear status, errors and next action without requiring the user to search another tool.</x:v>
      </x:c>
      <x:c r="F172" s="28" t="str">
        <x:v>Should Pass</x:v>
      </x:c>
      <x:c r="G172" s="28" t="str">
        <x:v>Finance</x:v>
      </x:c>
    </x:row>
    <x:row r="173">
      <x:c r="A173" s="28" t="str">
        <x:v>US046</x:v>
      </x:c>
      <x:c r="B173" s="28" t="str">
        <x:v>E16</x:v>
      </x:c>
      <x:c r="C173" s="28" t="str">
        <x:v>AC1</x:v>
      </x:c>
      <x:c r="D173" s="28" t="str">
        <x:v>Functional</x:v>
      </x:c>
      <x:c r="E173" s="28" t="str">
        <x:v>Given the user is in the Feedback module, when they capture user feedback after release, then the system completes the action and records the result.</x:v>
      </x:c>
      <x:c r="F173" s="28" t="str">
        <x:v>Must Pass</x:v>
      </x:c>
      <x:c r="G173" s="28" t="str">
        <x:v>Product Manager</x:v>
      </x:c>
    </x:row>
    <x:row r="174">
      <x:c r="A174" s="28" t="str">
        <x:v>US046</x:v>
      </x:c>
      <x:c r="B174" s="28" t="str">
        <x:v>E16</x:v>
      </x:c>
      <x:c r="C174" s="28" t="str">
        <x:v>AC2</x:v>
      </x:c>
      <x:c r="D174" s="28" t="str">
        <x:v>Traceability</x:v>
      </x:c>
      <x:c r="E174" s="28" t="str">
        <x:v>The action must be linked to the mapped step S19, epic E16, story US046, owner and timestamp.</x:v>
      </x:c>
      <x:c r="F174" s="28" t="str">
        <x:v>Must Pass</x:v>
      </x:c>
      <x:c r="G174" s="28" t="str">
        <x:v>Product Manager</x:v>
      </x:c>
    </x:row>
    <x:row r="175">
      <x:c r="A175" s="28" t="str">
        <x:v>US046</x:v>
      </x:c>
      <x:c r="B175" s="28" t="str">
        <x:v>E16</x:v>
      </x:c>
      <x:c r="C175" s="28" t="str">
        <x:v>AC3</x:v>
      </x:c>
      <x:c r="D175" s="28" t="str">
        <x:v>Quality / UX</x:v>
      </x:c>
      <x:c r="E175" s="28" t="str">
        <x:v>The interface must show clear status, errors and next action without requiring the user to search another tool.</x:v>
      </x:c>
      <x:c r="F175" s="28" t="str">
        <x:v>Should Pass</x:v>
      </x:c>
      <x:c r="G175" s="28" t="str">
        <x:v>Product Manager</x:v>
      </x:c>
    </x:row>
    <x:row r="176">
      <x:c r="A176" s="28" t="str">
        <x:v>US047</x:v>
      </x:c>
      <x:c r="B176" s="28" t="str">
        <x:v>E16</x:v>
      </x:c>
      <x:c r="C176" s="28" t="str">
        <x:v>AC1</x:v>
      </x:c>
      <x:c r="D176" s="28" t="str">
        <x:v>Functional</x:v>
      </x:c>
      <x:c r="E176" s="28" t="str">
        <x:v>Given the user is in the Metrics module, when they monitor product metrics, then the system completes the action and records the result.</x:v>
      </x:c>
      <x:c r="F176" s="28" t="str">
        <x:v>Must Pass</x:v>
      </x:c>
      <x:c r="G176" s="28" t="str">
        <x:v>Data Analyst</x:v>
      </x:c>
    </x:row>
    <x:row r="177">
      <x:c r="A177" s="28" t="str">
        <x:v>US047</x:v>
      </x:c>
      <x:c r="B177" s="28" t="str">
        <x:v>E16</x:v>
      </x:c>
      <x:c r="C177" s="28" t="str">
        <x:v>AC2</x:v>
      </x:c>
      <x:c r="D177" s="28" t="str">
        <x:v>Traceability</x:v>
      </x:c>
      <x:c r="E177" s="28" t="str">
        <x:v>The action must be linked to the mapped step S19, epic E16, story US047, owner and timestamp.</x:v>
      </x:c>
      <x:c r="F177" s="28" t="str">
        <x:v>Must Pass</x:v>
      </x:c>
      <x:c r="G177" s="28" t="str">
        <x:v>Data Analyst</x:v>
      </x:c>
    </x:row>
    <x:row r="178">
      <x:c r="A178" s="28" t="str">
        <x:v>US047</x:v>
      </x:c>
      <x:c r="B178" s="28" t="str">
        <x:v>E16</x:v>
      </x:c>
      <x:c r="C178" s="28" t="str">
        <x:v>AC3</x:v>
      </x:c>
      <x:c r="D178" s="28" t="str">
        <x:v>Quality / UX</x:v>
      </x:c>
      <x:c r="E178" s="28" t="str">
        <x:v>The interface must show clear status, errors and next action without requiring the user to search another tool.</x:v>
      </x:c>
      <x:c r="F178" s="28" t="str">
        <x:v>Should Pass</x:v>
      </x:c>
      <x:c r="G178" s="28" t="str">
        <x:v>Data Analyst</x:v>
      </x:c>
    </x:row>
    <x:row r="179">
      <x:c r="A179" s="28" t="str">
        <x:v>US048</x:v>
      </x:c>
      <x:c r="B179" s="28" t="str">
        <x:v>E16</x:v>
      </x:c>
      <x:c r="C179" s="28" t="str">
        <x:v>AC1</x:v>
      </x:c>
      <x:c r="D179" s="28" t="str">
        <x:v>Functional</x:v>
      </x:c>
      <x:c r="E179" s="28" t="str">
        <x:v>Given the user is in the Insights module, when they convert feedback into roadmap opportunities, then the system completes the action and records the result.</x:v>
      </x:c>
      <x:c r="F179" s="28" t="str">
        <x:v>Must Pass</x:v>
      </x:c>
      <x:c r="G179" s="28" t="str">
        <x:v>Product Manager</x:v>
      </x:c>
    </x:row>
    <x:row r="180">
      <x:c r="A180" s="28" t="str">
        <x:v>US048</x:v>
      </x:c>
      <x:c r="B180" s="28" t="str">
        <x:v>E16</x:v>
      </x:c>
      <x:c r="C180" s="28" t="str">
        <x:v>AC2</x:v>
      </x:c>
      <x:c r="D180" s="28" t="str">
        <x:v>Traceability</x:v>
      </x:c>
      <x:c r="E180" s="28" t="str">
        <x:v>The action must be linked to the mapped step S20, epic E16, story US048, owner and timestamp.</x:v>
      </x:c>
      <x:c r="F180" s="28" t="str">
        <x:v>Must Pass</x:v>
      </x:c>
      <x:c r="G180" s="28" t="str">
        <x:v>Product Manager</x:v>
      </x:c>
    </x:row>
    <x:row r="181">
      <x:c r="A181" s="28" t="str">
        <x:v>US048</x:v>
      </x:c>
      <x:c r="B181" s="28" t="str">
        <x:v>E16</x:v>
      </x:c>
      <x:c r="C181" s="28" t="str">
        <x:v>AC3</x:v>
      </x:c>
      <x:c r="D181" s="28" t="str">
        <x:v>Quality / UX</x:v>
      </x:c>
      <x:c r="E181" s="28" t="str">
        <x:v>The interface must show clear status, errors and next action without requiring the user to search another tool.</x:v>
      </x:c>
      <x:c r="F181" s="28" t="str">
        <x:v>Should Pass</x:v>
      </x:c>
      <x:c r="G181" s="28" t="str">
        <x:v>Product Manager</x:v>
      </x:c>
    </x:row>
    <x:row r="182">
      <x:c r="A182" s="28" t="str">
        <x:v>US048</x:v>
      </x:c>
      <x:c r="B182" s="28" t="str">
        <x:v>E16</x:v>
      </x:c>
      <x:c r="C182" s="28" t="str">
        <x:v>AC4</x:v>
      </x:c>
      <x:c r="D182" s="28" t="str">
        <x:v>Security / Audit</x:v>
      </x:c>
      <x:c r="E182" s="28" t="str">
        <x:v>Role-based access and audit log entry must be applied for create, update and approval actions.</x:v>
      </x:c>
      <x:c r="F182" s="28" t="str">
        <x:v>Must Pass</x:v>
      </x:c>
      <x:c r="G182" s="28" t="str">
        <x:v>Security / PMO</x:v>
      </x:c>
    </x:row>
    <x:row r="183">
      <x:c r="A183" s="28" t="str">
        <x:v>US049</x:v>
      </x:c>
      <x:c r="B183" s="28" t="str">
        <x:v>E17</x:v>
      </x:c>
      <x:c r="C183" s="28" t="str">
        <x:v>AC1</x:v>
      </x:c>
      <x:c r="D183" s="28" t="str">
        <x:v>Functional</x:v>
      </x:c>
      <x:c r="E183" s="28" t="str">
        <x:v>Given the user is in the Governance module, when they approve scope changes, then the system completes the action and records the result.</x:v>
      </x:c>
      <x:c r="F183" s="28" t="str">
        <x:v>Must Pass</x:v>
      </x:c>
      <x:c r="G183" s="28" t="str">
        <x:v>Sponsor</x:v>
      </x:c>
    </x:row>
    <x:row r="184">
      <x:c r="A184" s="28" t="str">
        <x:v>US049</x:v>
      </x:c>
      <x:c r="B184" s="28" t="str">
        <x:v>E17</x:v>
      </x:c>
      <x:c r="C184" s="28" t="str">
        <x:v>AC2</x:v>
      </x:c>
      <x:c r="D184" s="28" t="str">
        <x:v>Traceability</x:v>
      </x:c>
      <x:c r="E184" s="28" t="str">
        <x:v>The action must be linked to the mapped step S17, epic E17, story US049, owner and timestamp.</x:v>
      </x:c>
      <x:c r="F184" s="28" t="str">
        <x:v>Must Pass</x:v>
      </x:c>
      <x:c r="G184" s="28" t="str">
        <x:v>Sponsor</x:v>
      </x:c>
    </x:row>
    <x:row r="185">
      <x:c r="A185" s="28" t="str">
        <x:v>US049</x:v>
      </x:c>
      <x:c r="B185" s="28" t="str">
        <x:v>E17</x:v>
      </x:c>
      <x:c r="C185" s="28" t="str">
        <x:v>AC3</x:v>
      </x:c>
      <x:c r="D185" s="28" t="str">
        <x:v>Quality / UX</x:v>
      </x:c>
      <x:c r="E185" s="28" t="str">
        <x:v>The interface must show clear status, errors and next action without requiring the user to search another tool.</x:v>
      </x:c>
      <x:c r="F185" s="28" t="str">
        <x:v>Should Pass</x:v>
      </x:c>
      <x:c r="G185" s="28" t="str">
        <x:v>Sponsor</x:v>
      </x:c>
    </x:row>
    <x:row r="186">
      <x:c r="A186" s="28" t="str">
        <x:v>US050</x:v>
      </x:c>
      <x:c r="B186" s="28" t="str">
        <x:v>E17</x:v>
      </x:c>
      <x:c r="C186" s="28" t="str">
        <x:v>AC1</x:v>
      </x:c>
      <x:c r="D186" s="28" t="str">
        <x:v>Functional</x:v>
      </x:c>
      <x:c r="E186" s="28" t="str">
        <x:v>Given the user is in the Governance module, when they record decisions and approvals, then the system completes the action and records the result.</x:v>
      </x:c>
      <x:c r="F186" s="28" t="str">
        <x:v>Must Pass</x:v>
      </x:c>
      <x:c r="G186" s="28" t="str">
        <x:v>PM</x:v>
      </x:c>
    </x:row>
    <x:row r="187">
      <x:c r="A187" s="28" t="str">
        <x:v>US050</x:v>
      </x:c>
      <x:c r="B187" s="28" t="str">
        <x:v>E17</x:v>
      </x:c>
      <x:c r="C187" s="28" t="str">
        <x:v>AC2</x:v>
      </x:c>
      <x:c r="D187" s="28" t="str">
        <x:v>Traceability</x:v>
      </x:c>
      <x:c r="E187" s="28" t="str">
        <x:v>The action must be linked to the mapped step S17, epic E17, story US050, owner and timestamp.</x:v>
      </x:c>
      <x:c r="F187" s="28" t="str">
        <x:v>Must Pass</x:v>
      </x:c>
      <x:c r="G187" s="28" t="str">
        <x:v>PM</x:v>
      </x:c>
    </x:row>
    <x:row r="188">
      <x:c r="A188" s="28" t="str">
        <x:v>US050</x:v>
      </x:c>
      <x:c r="B188" s="28" t="str">
        <x:v>E17</x:v>
      </x:c>
      <x:c r="C188" s="28" t="str">
        <x:v>AC3</x:v>
      </x:c>
      <x:c r="D188" s="28" t="str">
        <x:v>Quality / UX</x:v>
      </x:c>
      <x:c r="E188" s="28" t="str">
        <x:v>The interface must show clear status, errors and next action without requiring the user to search another tool.</x:v>
      </x:c>
      <x:c r="F188" s="28" t="str">
        <x:v>Should Pass</x:v>
      </x:c>
      <x:c r="G188" s="28" t="str">
        <x:v>PM</x:v>
      </x:c>
    </x:row>
    <x:row r="189">
      <x:c r="A189" s="28" t="str">
        <x:v>US051</x:v>
      </x:c>
      <x:c r="B189" s="28" t="str">
        <x:v>E17</x:v>
      </x:c>
      <x:c r="C189" s="28" t="str">
        <x:v>AC1</x:v>
      </x:c>
      <x:c r="D189" s="28" t="str">
        <x:v>Functional</x:v>
      </x:c>
      <x:c r="E189" s="28" t="str">
        <x:v>Given the user is in the Governance module, when they export audit evidence, then the system completes the action and records the result.</x:v>
      </x:c>
      <x:c r="F189" s="28" t="str">
        <x:v>Must Pass</x:v>
      </x:c>
      <x:c r="G189" s="28" t="str">
        <x:v>Compliance</x:v>
      </x:c>
    </x:row>
    <x:row r="190">
      <x:c r="A190" s="28" t="str">
        <x:v>US051</x:v>
      </x:c>
      <x:c r="B190" s="28" t="str">
        <x:v>E17</x:v>
      </x:c>
      <x:c r="C190" s="28" t="str">
        <x:v>AC2</x:v>
      </x:c>
      <x:c r="D190" s="28" t="str">
        <x:v>Traceability</x:v>
      </x:c>
      <x:c r="E190" s="28" t="str">
        <x:v>The action must be linked to the mapped step S17, epic E17, story US051, owner and timestamp.</x:v>
      </x:c>
      <x:c r="F190" s="28" t="str">
        <x:v>Must Pass</x:v>
      </x:c>
      <x:c r="G190" s="28" t="str">
        <x:v>Compliance</x:v>
      </x:c>
    </x:row>
    <x:row r="191">
      <x:c r="A191" s="28" t="str">
        <x:v>US051</x:v>
      </x:c>
      <x:c r="B191" s="28" t="str">
        <x:v>E17</x:v>
      </x:c>
      <x:c r="C191" s="28" t="str">
        <x:v>AC3</x:v>
      </x:c>
      <x:c r="D191" s="28" t="str">
        <x:v>Quality / UX</x:v>
      </x:c>
      <x:c r="E191" s="28" t="str">
        <x:v>The interface must show clear status, errors and next action without requiring the user to search another tool.</x:v>
      </x:c>
      <x:c r="F191" s="28" t="str">
        <x:v>Should Pass</x:v>
      </x:c>
      <x:c r="G191" s="28" t="str">
        <x:v>Compliance</x:v>
      </x:c>
    </x:row>
    <x:row r="192">
      <x:c r="A192" s="28" t="str">
        <x:v>US052</x:v>
      </x:c>
      <x:c r="B192" s="28" t="str">
        <x:v>E18</x:v>
      </x:c>
      <x:c r="C192" s="28" t="str">
        <x:v>AC1</x:v>
      </x:c>
      <x:c r="D192" s="28" t="str">
        <x:v>Functional</x:v>
      </x:c>
      <x:c r="E192" s="28" t="str">
        <x:v>Given the user is in the Release module, when they prepare a release checklist, then the system completes the action and records the result.</x:v>
      </x:c>
      <x:c r="F192" s="28" t="str">
        <x:v>Must Pass</x:v>
      </x:c>
      <x:c r="G192" s="28" t="str">
        <x:v>Engineering Lead</x:v>
      </x:c>
    </x:row>
    <x:row r="193">
      <x:c r="A193" s="28" t="str">
        <x:v>US052</x:v>
      </x:c>
      <x:c r="B193" s="28" t="str">
        <x:v>E18</x:v>
      </x:c>
      <x:c r="C193" s="28" t="str">
        <x:v>AC2</x:v>
      </x:c>
      <x:c r="D193" s="28" t="str">
        <x:v>Traceability</x:v>
      </x:c>
      <x:c r="E193" s="28" t="str">
        <x:v>The action must be linked to the mapped step S18, epic E18, story US052, owner and timestamp.</x:v>
      </x:c>
      <x:c r="F193" s="28" t="str">
        <x:v>Must Pass</x:v>
      </x:c>
      <x:c r="G193" s="28" t="str">
        <x:v>Engineering Lead</x:v>
      </x:c>
    </x:row>
    <x:row r="194">
      <x:c r="A194" s="28" t="str">
        <x:v>US052</x:v>
      </x:c>
      <x:c r="B194" s="28" t="str">
        <x:v>E18</x:v>
      </x:c>
      <x:c r="C194" s="28" t="str">
        <x:v>AC3</x:v>
      </x:c>
      <x:c r="D194" s="28" t="str">
        <x:v>Quality / UX</x:v>
      </x:c>
      <x:c r="E194" s="28" t="str">
        <x:v>The interface must show clear status, errors and next action without requiring the user to search another tool.</x:v>
      </x:c>
      <x:c r="F194" s="28" t="str">
        <x:v>Should Pass</x:v>
      </x:c>
      <x:c r="G194" s="28" t="str">
        <x:v>Engineering Lead</x:v>
      </x:c>
    </x:row>
    <x:row r="195">
      <x:c r="A195" s="28" t="str">
        <x:v>US053</x:v>
      </x:c>
      <x:c r="B195" s="28" t="str">
        <x:v>E18</x:v>
      </x:c>
      <x:c r="C195" s="28" t="str">
        <x:v>AC1</x:v>
      </x:c>
      <x:c r="D195" s="28" t="str">
        <x:v>Functional</x:v>
      </x:c>
      <x:c r="E195" s="28" t="str">
        <x:v>Given the user is in the Release module, when they monitor post-release incidents, then the system completes the action and records the result.</x:v>
      </x:c>
      <x:c r="F195" s="28" t="str">
        <x:v>Must Pass</x:v>
      </x:c>
      <x:c r="G195" s="28" t="str">
        <x:v>PM</x:v>
      </x:c>
    </x:row>
    <x:row r="196">
      <x:c r="A196" s="28" t="str">
        <x:v>US053</x:v>
      </x:c>
      <x:c r="B196" s="28" t="str">
        <x:v>E18</x:v>
      </x:c>
      <x:c r="C196" s="28" t="str">
        <x:v>AC2</x:v>
      </x:c>
      <x:c r="D196" s="28" t="str">
        <x:v>Traceability</x:v>
      </x:c>
      <x:c r="E196" s="28" t="str">
        <x:v>The action must be linked to the mapped step S18, epic E18, story US053, owner and timestamp.</x:v>
      </x:c>
      <x:c r="F196" s="28" t="str">
        <x:v>Must Pass</x:v>
      </x:c>
      <x:c r="G196" s="28" t="str">
        <x:v>PM</x:v>
      </x:c>
    </x:row>
    <x:row r="197">
      <x:c r="A197" s="28" t="str">
        <x:v>US053</x:v>
      </x:c>
      <x:c r="B197" s="28" t="str">
        <x:v>E18</x:v>
      </x:c>
      <x:c r="C197" s="28" t="str">
        <x:v>AC3</x:v>
      </x:c>
      <x:c r="D197" s="28" t="str">
        <x:v>Quality / UX</x:v>
      </x:c>
      <x:c r="E197" s="28" t="str">
        <x:v>The interface must show clear status, errors and next action without requiring the user to search another tool.</x:v>
      </x:c>
      <x:c r="F197" s="28" t="str">
        <x:v>Should Pass</x:v>
      </x:c>
      <x:c r="G197" s="28" t="str">
        <x:v>PM</x:v>
      </x:c>
    </x:row>
    <x:row r="198">
      <x:c r="A198" s="28" t="str">
        <x:v>US054</x:v>
      </x:c>
      <x:c r="B198" s="28" t="str">
        <x:v>E18</x:v>
      </x:c>
      <x:c r="C198" s="28" t="str">
        <x:v>AC1</x:v>
      </x:c>
      <x:c r="D198" s="28" t="str">
        <x:v>Functional</x:v>
      </x:c>
      <x:c r="E198" s="28" t="str">
        <x:v>Given the user is in the Portfolio module, when they view multi-project portfolio health, then the system completes the action and records the result.</x:v>
      </x:c>
      <x:c r="F198" s="28" t="str">
        <x:v>Must Pass</x:v>
      </x:c>
      <x:c r="G198" s="28" t="str">
        <x:v>PMO</x:v>
      </x:c>
    </x:row>
    <x:row r="199">
      <x:c r="A199" s="28" t="str">
        <x:v>US054</x:v>
      </x:c>
      <x:c r="B199" s="28" t="str">
        <x:v>E18</x:v>
      </x:c>
      <x:c r="C199" s="28" t="str">
        <x:v>AC2</x:v>
      </x:c>
      <x:c r="D199" s="28" t="str">
        <x:v>Traceability</x:v>
      </x:c>
      <x:c r="E199" s="28" t="str">
        <x:v>The action must be linked to the mapped step S21, epic E18, story US054, owner and timestamp.</x:v>
      </x:c>
      <x:c r="F199" s="28" t="str">
        <x:v>Must Pass</x:v>
      </x:c>
      <x:c r="G199" s="28" t="str">
        <x:v>PMO</x:v>
      </x:c>
    </x:row>
    <x:row r="200">
      <x:c r="A200" s="28" t="str">
        <x:v>US054</x:v>
      </x:c>
      <x:c r="B200" s="28" t="str">
        <x:v>E18</x:v>
      </x:c>
      <x:c r="C200" s="28" t="str">
        <x:v>AC3</x:v>
      </x:c>
      <x:c r="D200" s="28" t="str">
        <x:v>Quality / UX</x:v>
      </x:c>
      <x:c r="E200" s="28" t="str">
        <x:v>The interface must show clear status, errors and next action without requiring the user to search another tool.</x:v>
      </x:c>
      <x:c r="F200" s="28" t="str">
        <x:v>Should Pass</x:v>
      </x:c>
      <x:c r="G200" s="28" t="str">
        <x:v>PMO</x:v>
      </x:c>
    </x:row>
    <x:row r="201">
      <x:c r="A201" s="28" t="str">
        <x:v>US055</x:v>
      </x:c>
      <x:c r="B201" s="28" t="str">
        <x:v>E18</x:v>
      </x:c>
      <x:c r="C201" s="28" t="str">
        <x:v>AC1</x:v>
      </x:c>
      <x:c r="D201" s="28" t="str">
        <x:v>Functional</x:v>
      </x:c>
      <x:c r="E201" s="28" t="str">
        <x:v>Given the user is in the Monitoring module, when they monitor documentation and diagram freshness, then the system completes the action and records the result.</x:v>
      </x:c>
      <x:c r="F201" s="28" t="str">
        <x:v>Must Pass</x:v>
      </x:c>
      <x:c r="G201" s="28" t="str">
        <x:v>Product Ops</x:v>
      </x:c>
    </x:row>
    <x:row r="202">
      <x:c r="A202" s="28" t="str">
        <x:v>US055</x:v>
      </x:c>
      <x:c r="B202" s="28" t="str">
        <x:v>E18</x:v>
      </x:c>
      <x:c r="C202" s="28" t="str">
        <x:v>AC2</x:v>
      </x:c>
      <x:c r="D202" s="28" t="str">
        <x:v>Traceability</x:v>
      </x:c>
      <x:c r="E202" s="28" t="str">
        <x:v>The action must be linked to the mapped step S21, epic E18, story US055, owner and timestamp.</x:v>
      </x:c>
      <x:c r="F202" s="28" t="str">
        <x:v>Must Pass</x:v>
      </x:c>
      <x:c r="G202" s="28" t="str">
        <x:v>Product Ops</x:v>
      </x:c>
    </x:row>
    <x:row r="203">
      <x:c r="A203" s="28" t="str">
        <x:v>US055</x:v>
      </x:c>
      <x:c r="B203" s="28" t="str">
        <x:v>E18</x:v>
      </x:c>
      <x:c r="C203" s="28" t="str">
        <x:v>AC3</x:v>
      </x:c>
      <x:c r="D203" s="28" t="str">
        <x:v>Quality / UX</x:v>
      </x:c>
      <x:c r="E203" s="28" t="str">
        <x:v>The interface must show clear status, errors and next action without requiring the user to search another tool.</x:v>
      </x:c>
      <x:c r="F203" s="28" t="str">
        <x:v>Should Pass</x:v>
      </x:c>
      <x:c r="G203" s="28" t="str">
        <x:v>Product Ops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2" hidden="0" customWidth="1"/>
    <x:col min="5" max="5" width="24" hidden="0" customWidth="1"/>
    <x:col min="6" max="6" width="18" hidden="0" customWidth="1"/>
    <x:col min="7" max="7" width="18" hidden="0" customWidth="1"/>
    <x:col min="8" max="8" width="22" hidden="0" customWidth="1"/>
    <x:col min="9" max="9" width="24" hidden="0" customWidth="1"/>
    <x:col min="10" max="10" width="22" hidden="0" customWidth="1"/>
    <x:col min="11" max="11" width="18" hidden="0" customWidth="1"/>
    <x:col min="12" max="12" width="22" hidden="0" customWidth="1"/>
  </x:cols>
  <x:sheetData>
    <x:row r="1" ht="28" customHeight="1">
      <x:c r="A1" s="20" t="str">
        <x:v>Requirement to Story to Code to Test Traceability Matrix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  <x:c r="L1" s="7" t="str"/>
    </x:row>
    <x:row r="3" ht="34" customHeight="1">
      <x:c r="A3" s="26" t="str">
        <x:v>Requirement ID</x:v>
      </x:c>
      <x:c r="B3" s="26" t="str">
        <x:v>Step</x:v>
      </x:c>
      <x:c r="C3" s="26" t="str">
        <x:v>Epic</x:v>
      </x:c>
      <x:c r="D3" s="26" t="str">
        <x:v>Story</x:v>
      </x:c>
      <x:c r="E3" s="26" t="str">
        <x:v>Acceptance Criteria</x:v>
      </x:c>
      <x:c r="F3" s="26" t="str">
        <x:v>Branch</x:v>
      </x:c>
      <x:c r="G3" s="26" t="str">
        <x:v>Pull Request</x:v>
      </x:c>
      <x:c r="H3" s="26" t="str">
        <x:v>Test Evidence</x:v>
      </x:c>
      <x:c r="I3" s="26" t="str">
        <x:v>Confluence Evidence</x:v>
      </x:c>
      <x:c r="J3" s="26" t="str">
        <x:v>Diagram Evidence</x:v>
      </x:c>
      <x:c r="K3" s="26" t="str">
        <x:v>Validation Status</x:v>
      </x:c>
      <x:c r="L3" s="26" t="str">
        <x:v>Owner</x:v>
      </x:c>
    </x:row>
    <x:row r="4">
      <x:c r="A4" s="28" t="str">
        <x:v>REQ-001</x:v>
      </x:c>
      <x:c r="B4" s="28" t="str">
        <x:v>S01</x:v>
      </x:c>
      <x:c r="C4" s="28" t="str">
        <x:v>E01</x:v>
      </x:c>
      <x:c r="D4" s="28" t="str">
        <x:v>US001</x:v>
      </x:c>
      <x:c r="E4" s="28" t="str">
        <x:v>US001-AC1..AC4</x:v>
      </x:c>
      <x:c r="F4" s="28" t="str">
        <x:v>BR-us001</x:v>
      </x:c>
      <x:c r="G4" s="28" t="str">
        <x:v>PR-us001</x:v>
      </x:c>
      <x:c r="H4" s="28" t="str">
        <x:v>TEST-us001</x:v>
      </x:c>
      <x:c r="I4" s="28" t="str">
        <x:v>Confluence Page TBD</x:v>
      </x:c>
      <x:c r="J4" s="28" t="str">
        <x:v>Mermaid Node TBD</x:v>
      </x:c>
      <x:c r="K4" s="28" t="str">
        <x:v>Planned</x:v>
      </x:c>
      <x:c r="L4" s="28" t="str">
        <x:v>Product Manager</x:v>
      </x:c>
    </x:row>
    <x:row r="5">
      <x:c r="A5" s="28" t="str">
        <x:v>REQ-002</x:v>
      </x:c>
      <x:c r="B5" s="28" t="str">
        <x:v>S02</x:v>
      </x:c>
      <x:c r="C5" s="28" t="str">
        <x:v>E01</x:v>
      </x:c>
      <x:c r="D5" s="28" t="str">
        <x:v>US002</x:v>
      </x:c>
      <x:c r="E5" s="28" t="str">
        <x:v>US002-AC1..AC4</x:v>
      </x:c>
      <x:c r="F5" s="28" t="str">
        <x:v>BR-us002</x:v>
      </x:c>
      <x:c r="G5" s="28" t="str">
        <x:v>PR-us002</x:v>
      </x:c>
      <x:c r="H5" s="28" t="str">
        <x:v>TEST-us002</x:v>
      </x:c>
      <x:c r="I5" s="28" t="str">
        <x:v>Confluence Page TBD</x:v>
      </x:c>
      <x:c r="J5" s="28" t="str">
        <x:v>Mermaid Node TBD</x:v>
      </x:c>
      <x:c r="K5" s="28" t="str">
        <x:v>Planned</x:v>
      </x:c>
      <x:c r="L5" s="28" t="str">
        <x:v>Product Manager</x:v>
      </x:c>
    </x:row>
    <x:row r="6">
      <x:c r="A6" s="28" t="str">
        <x:v>REQ-003</x:v>
      </x:c>
      <x:c r="B6" s="28" t="str">
        <x:v>S02</x:v>
      </x:c>
      <x:c r="C6" s="28" t="str">
        <x:v>E01</x:v>
      </x:c>
      <x:c r="D6" s="28" t="str">
        <x:v>US003</x:v>
      </x:c>
      <x:c r="E6" s="28" t="str">
        <x:v>US003-AC1..AC4</x:v>
      </x:c>
      <x:c r="F6" s="28" t="str">
        <x:v>BR-us003</x:v>
      </x:c>
      <x:c r="G6" s="28" t="str">
        <x:v>PR-us003</x:v>
      </x:c>
      <x:c r="H6" s="28" t="str">
        <x:v>TEST-us003</x:v>
      </x:c>
      <x:c r="I6" s="28" t="str">
        <x:v>Confluence Page TBD</x:v>
      </x:c>
      <x:c r="J6" s="28" t="str">
        <x:v>Mermaid Node TBD</x:v>
      </x:c>
      <x:c r="K6" s="28" t="str">
        <x:v>Planned</x:v>
      </x:c>
      <x:c r="L6" s="28" t="str">
        <x:v>Product Manager</x:v>
      </x:c>
    </x:row>
    <x:row r="7">
      <x:c r="A7" s="28" t="str">
        <x:v>REQ-004</x:v>
      </x:c>
      <x:c r="B7" s="28" t="str">
        <x:v>S03</x:v>
      </x:c>
      <x:c r="C7" s="28" t="str">
        <x:v>E02</x:v>
      </x:c>
      <x:c r="D7" s="28" t="str">
        <x:v>US004</x:v>
      </x:c>
      <x:c r="E7" s="28" t="str">
        <x:v>US004-AC1..AC4</x:v>
      </x:c>
      <x:c r="F7" s="28" t="str">
        <x:v>BR-us004</x:v>
      </x:c>
      <x:c r="G7" s="28" t="str">
        <x:v>PR-us004</x:v>
      </x:c>
      <x:c r="H7" s="28" t="str">
        <x:v>TEST-us004</x:v>
      </x:c>
      <x:c r="I7" s="28" t="str">
        <x:v>Confluence Page TBD</x:v>
      </x:c>
      <x:c r="J7" s="28" t="str">
        <x:v>Mermaid Node TBD</x:v>
      </x:c>
      <x:c r="K7" s="28" t="str">
        <x:v>Planned</x:v>
      </x:c>
      <x:c r="L7" s="28" t="str">
        <x:v>BA</x:v>
      </x:c>
    </x:row>
    <x:row r="8">
      <x:c r="A8" s="28" t="str">
        <x:v>REQ-005</x:v>
      </x:c>
      <x:c r="B8" s="28" t="str">
        <x:v>S03</x:v>
      </x:c>
      <x:c r="C8" s="28" t="str">
        <x:v>E02</x:v>
      </x:c>
      <x:c r="D8" s="28" t="str">
        <x:v>US005</x:v>
      </x:c>
      <x:c r="E8" s="28" t="str">
        <x:v>US005-AC1..AC4</x:v>
      </x:c>
      <x:c r="F8" s="28" t="str">
        <x:v>BR-us005</x:v>
      </x:c>
      <x:c r="G8" s="28" t="str">
        <x:v>PR-us005</x:v>
      </x:c>
      <x:c r="H8" s="28" t="str">
        <x:v>TEST-us005</x:v>
      </x:c>
      <x:c r="I8" s="28" t="str">
        <x:v>Confluence Page TBD</x:v>
      </x:c>
      <x:c r="J8" s="28" t="str">
        <x:v>Mermaid Node TBD</x:v>
      </x:c>
      <x:c r="K8" s="28" t="str">
        <x:v>Planned</x:v>
      </x:c>
      <x:c r="L8" s="28" t="str">
        <x:v>Product Manager</x:v>
      </x:c>
    </x:row>
    <x:row r="9">
      <x:c r="A9" s="28" t="str">
        <x:v>REQ-006</x:v>
      </x:c>
      <x:c r="B9" s="28" t="str">
        <x:v>S03</x:v>
      </x:c>
      <x:c r="C9" s="28" t="str">
        <x:v>E02</x:v>
      </x:c>
      <x:c r="D9" s="28" t="str">
        <x:v>US006</x:v>
      </x:c>
      <x:c r="E9" s="28" t="str">
        <x:v>US006-AC1..AC4</x:v>
      </x:c>
      <x:c r="F9" s="28" t="str">
        <x:v>BR-us006</x:v>
      </x:c>
      <x:c r="G9" s="28" t="str">
        <x:v>PR-us006</x:v>
      </x:c>
      <x:c r="H9" s="28" t="str">
        <x:v>TEST-us006</x:v>
      </x:c>
      <x:c r="I9" s="28" t="str">
        <x:v>Confluence Page TBD</x:v>
      </x:c>
      <x:c r="J9" s="28" t="str">
        <x:v>Mermaid Node TBD</x:v>
      </x:c>
      <x:c r="K9" s="28" t="str">
        <x:v>Planned</x:v>
      </x:c>
      <x:c r="L9" s="28" t="str">
        <x:v>Product Manager</x:v>
      </x:c>
    </x:row>
    <x:row r="10">
      <x:c r="A10" s="28" t="str">
        <x:v>REQ-007</x:v>
      </x:c>
      <x:c r="B10" s="28" t="str">
        <x:v>S04</x:v>
      </x:c>
      <x:c r="C10" s="28" t="str">
        <x:v>E03</x:v>
      </x:c>
      <x:c r="D10" s="28" t="str">
        <x:v>US007</x:v>
      </x:c>
      <x:c r="E10" s="28" t="str">
        <x:v>US007-AC1..AC4</x:v>
      </x:c>
      <x:c r="F10" s="28" t="str">
        <x:v>BR-us007</x:v>
      </x:c>
      <x:c r="G10" s="28" t="str">
        <x:v>PR-us007</x:v>
      </x:c>
      <x:c r="H10" s="28" t="str">
        <x:v>TEST-us007</x:v>
      </x:c>
      <x:c r="I10" s="28" t="str">
        <x:v>Confluence Page TBD</x:v>
      </x:c>
      <x:c r="J10" s="28" t="str">
        <x:v>Mermaid Node TBD</x:v>
      </x:c>
      <x:c r="K10" s="28" t="str">
        <x:v>Planned</x:v>
      </x:c>
      <x:c r="L10" s="28" t="str">
        <x:v>Product Manager</x:v>
      </x:c>
    </x:row>
    <x:row r="11">
      <x:c r="A11" s="28" t="str">
        <x:v>REQ-008</x:v>
      </x:c>
      <x:c r="B11" s="28" t="str">
        <x:v>S04</x:v>
      </x:c>
      <x:c r="C11" s="28" t="str">
        <x:v>E03</x:v>
      </x:c>
      <x:c r="D11" s="28" t="str">
        <x:v>US008</x:v>
      </x:c>
      <x:c r="E11" s="28" t="str">
        <x:v>US008-AC1..AC4</x:v>
      </x:c>
      <x:c r="F11" s="28" t="str">
        <x:v>BR-us008</x:v>
      </x:c>
      <x:c r="G11" s="28" t="str">
        <x:v>PR-us008</x:v>
      </x:c>
      <x:c r="H11" s="28" t="str">
        <x:v>TEST-us008</x:v>
      </x:c>
      <x:c r="I11" s="28" t="str">
        <x:v>Confluence Page TBD</x:v>
      </x:c>
      <x:c r="J11" s="28" t="str">
        <x:v>Mermaid Node TBD</x:v>
      </x:c>
      <x:c r="K11" s="28" t="str">
        <x:v>Planned</x:v>
      </x:c>
      <x:c r="L11" s="28" t="str">
        <x:v>Product Manager</x:v>
      </x:c>
    </x:row>
    <x:row r="12">
      <x:c r="A12" s="28" t="str">
        <x:v>REQ-009</x:v>
      </x:c>
      <x:c r="B12" s="28" t="str">
        <x:v>S04</x:v>
      </x:c>
      <x:c r="C12" s="28" t="str">
        <x:v>E03</x:v>
      </x:c>
      <x:c r="D12" s="28" t="str">
        <x:v>US009</x:v>
      </x:c>
      <x:c r="E12" s="28" t="str">
        <x:v>US009-AC1..AC4</x:v>
      </x:c>
      <x:c r="F12" s="28" t="str">
        <x:v>BR-us009</x:v>
      </x:c>
      <x:c r="G12" s="28" t="str">
        <x:v>PR-us009</x:v>
      </x:c>
      <x:c r="H12" s="28" t="str">
        <x:v>TEST-us009</x:v>
      </x:c>
      <x:c r="I12" s="28" t="str">
        <x:v>Confluence Page TBD</x:v>
      </x:c>
      <x:c r="J12" s="28" t="str">
        <x:v>Mermaid Node TBD</x:v>
      </x:c>
      <x:c r="K12" s="28" t="str">
        <x:v>Planned</x:v>
      </x:c>
      <x:c r="L12" s="28" t="str">
        <x:v>Sponsor</x:v>
      </x:c>
    </x:row>
    <x:row r="13">
      <x:c r="A13" s="28" t="str">
        <x:v>REQ-010</x:v>
      </x:c>
      <x:c r="B13" s="28" t="str">
        <x:v>S05</x:v>
      </x:c>
      <x:c r="C13" s="28" t="str">
        <x:v>E04</x:v>
      </x:c>
      <x:c r="D13" s="28" t="str">
        <x:v>US010</x:v>
      </x:c>
      <x:c r="E13" s="28" t="str">
        <x:v>US010-AC1..AC4</x:v>
      </x:c>
      <x:c r="F13" s="28" t="str">
        <x:v>BR-us010</x:v>
      </x:c>
      <x:c r="G13" s="28" t="str">
        <x:v>PR-us010</x:v>
      </x:c>
      <x:c r="H13" s="28" t="str">
        <x:v>TEST-us010</x:v>
      </x:c>
      <x:c r="I13" s="28" t="str">
        <x:v>Confluence Page TBD</x:v>
      </x:c>
      <x:c r="J13" s="28" t="str">
        <x:v>Mermaid Node TBD</x:v>
      </x:c>
      <x:c r="K13" s="28" t="str">
        <x:v>Planned</x:v>
      </x:c>
      <x:c r="L13" s="28" t="str">
        <x:v>BA</x:v>
      </x:c>
    </x:row>
    <x:row r="14">
      <x:c r="A14" s="28" t="str">
        <x:v>REQ-011</x:v>
      </x:c>
      <x:c r="B14" s="28" t="str">
        <x:v>S05</x:v>
      </x:c>
      <x:c r="C14" s="28" t="str">
        <x:v>E04</x:v>
      </x:c>
      <x:c r="D14" s="28" t="str">
        <x:v>US011</x:v>
      </x:c>
      <x:c r="E14" s="28" t="str">
        <x:v>US011-AC1..AC4</x:v>
      </x:c>
      <x:c r="F14" s="28" t="str">
        <x:v>BR-us011</x:v>
      </x:c>
      <x:c r="G14" s="28" t="str">
        <x:v>PR-us011</x:v>
      </x:c>
      <x:c r="H14" s="28" t="str">
        <x:v>TEST-us011</x:v>
      </x:c>
      <x:c r="I14" s="28" t="str">
        <x:v>Confluence Page TBD</x:v>
      </x:c>
      <x:c r="J14" s="28" t="str">
        <x:v>Mermaid Node TBD</x:v>
      </x:c>
      <x:c r="K14" s="28" t="str">
        <x:v>Planned</x:v>
      </x:c>
      <x:c r="L14" s="28" t="str">
        <x:v>Product Manager</x:v>
      </x:c>
    </x:row>
    <x:row r="15">
      <x:c r="A15" s="28" t="str">
        <x:v>REQ-012</x:v>
      </x:c>
      <x:c r="B15" s="28" t="str">
        <x:v>S05</x:v>
      </x:c>
      <x:c r="C15" s="28" t="str">
        <x:v>E04</x:v>
      </x:c>
      <x:c r="D15" s="28" t="str">
        <x:v>US012</x:v>
      </x:c>
      <x:c r="E15" s="28" t="str">
        <x:v>US012-AC1..AC4</x:v>
      </x:c>
      <x:c r="F15" s="28" t="str">
        <x:v>BR-us012</x:v>
      </x:c>
      <x:c r="G15" s="28" t="str">
        <x:v>PR-us012</x:v>
      </x:c>
      <x:c r="H15" s="28" t="str">
        <x:v>TEST-us012</x:v>
      </x:c>
      <x:c r="I15" s="28" t="str">
        <x:v>Confluence Page TBD</x:v>
      </x:c>
      <x:c r="J15" s="28" t="str">
        <x:v>Mermaid Node TBD</x:v>
      </x:c>
      <x:c r="K15" s="28" t="str">
        <x:v>Planned</x:v>
      </x:c>
      <x:c r="L15" s="28" t="str">
        <x:v>Engineering Lead</x:v>
      </x:c>
    </x:row>
    <x:row r="16">
      <x:c r="A16" s="28" t="str">
        <x:v>REQ-013</x:v>
      </x:c>
      <x:c r="B16" s="28" t="str">
        <x:v>S04</x:v>
      </x:c>
      <x:c r="C16" s="28" t="str">
        <x:v>E05</x:v>
      </x:c>
      <x:c r="D16" s="28" t="str">
        <x:v>US013</x:v>
      </x:c>
      <x:c r="E16" s="28" t="str">
        <x:v>US013-AC1..AC4</x:v>
      </x:c>
      <x:c r="F16" s="28" t="str">
        <x:v>BR-us013</x:v>
      </x:c>
      <x:c r="G16" s="28" t="str">
        <x:v>PR-us013</x:v>
      </x:c>
      <x:c r="H16" s="28" t="str">
        <x:v>TEST-us013</x:v>
      </x:c>
      <x:c r="I16" s="28" t="str">
        <x:v>Confluence Page TBD</x:v>
      </x:c>
      <x:c r="J16" s="28" t="str">
        <x:v>Mermaid Node TBD</x:v>
      </x:c>
      <x:c r="K16" s="28" t="str">
        <x:v>Planned</x:v>
      </x:c>
      <x:c r="L16" s="28" t="str">
        <x:v>Architect</x:v>
      </x:c>
    </x:row>
    <x:row r="17">
      <x:c r="A17" s="28" t="str">
        <x:v>REQ-014</x:v>
      </x:c>
      <x:c r="B17" s="28" t="str">
        <x:v>S14</x:v>
      </x:c>
      <x:c r="C17" s="28" t="str">
        <x:v>E05</x:v>
      </x:c>
      <x:c r="D17" s="28" t="str">
        <x:v>US014</x:v>
      </x:c>
      <x:c r="E17" s="28" t="str">
        <x:v>US014-AC1..AC4</x:v>
      </x:c>
      <x:c r="F17" s="28" t="str">
        <x:v>BR-us014</x:v>
      </x:c>
      <x:c r="G17" s="28" t="str">
        <x:v>PR-us014</x:v>
      </x:c>
      <x:c r="H17" s="28" t="str">
        <x:v>TEST-us014</x:v>
      </x:c>
      <x:c r="I17" s="28" t="str">
        <x:v>Confluence Page TBD</x:v>
      </x:c>
      <x:c r="J17" s="28" t="str">
        <x:v>Mermaid Node TBD</x:v>
      </x:c>
      <x:c r="K17" s="28" t="str">
        <x:v>Planned</x:v>
      </x:c>
      <x:c r="L17" s="28" t="str">
        <x:v>Architect</x:v>
      </x:c>
    </x:row>
    <x:row r="18">
      <x:c r="A18" s="28" t="str">
        <x:v>REQ-015</x:v>
      </x:c>
      <x:c r="B18" s="28" t="str">
        <x:v>S14</x:v>
      </x:c>
      <x:c r="C18" s="28" t="str">
        <x:v>E05</x:v>
      </x:c>
      <x:c r="D18" s="28" t="str">
        <x:v>US015</x:v>
      </x:c>
      <x:c r="E18" s="28" t="str">
        <x:v>US015-AC1..AC4</x:v>
      </x:c>
      <x:c r="F18" s="28" t="str">
        <x:v>BR-us015</x:v>
      </x:c>
      <x:c r="G18" s="28" t="str">
        <x:v>PR-us015</x:v>
      </x:c>
      <x:c r="H18" s="28" t="str">
        <x:v>TEST-us015</x:v>
      </x:c>
      <x:c r="I18" s="28" t="str">
        <x:v>Confluence Page TBD</x:v>
      </x:c>
      <x:c r="J18" s="28" t="str">
        <x:v>Mermaid Node TBD</x:v>
      </x:c>
      <x:c r="K18" s="28" t="str">
        <x:v>Planned</x:v>
      </x:c>
      <x:c r="L18" s="28" t="str">
        <x:v>PM</x:v>
      </x:c>
    </x:row>
    <x:row r="19">
      <x:c r="A19" s="28" t="str">
        <x:v>REQ-016</x:v>
      </x:c>
      <x:c r="B19" s="28" t="str">
        <x:v>S06</x:v>
      </x:c>
      <x:c r="C19" s="28" t="str">
        <x:v>E06</x:v>
      </x:c>
      <x:c r="D19" s="28" t="str">
        <x:v>US016</x:v>
      </x:c>
      <x:c r="E19" s="28" t="str">
        <x:v>US016-AC1..AC4</x:v>
      </x:c>
      <x:c r="F19" s="28" t="str">
        <x:v>BR-us016</x:v>
      </x:c>
      <x:c r="G19" s="28" t="str">
        <x:v>PR-us016</x:v>
      </x:c>
      <x:c r="H19" s="28" t="str">
        <x:v>TEST-us016</x:v>
      </x:c>
      <x:c r="I19" s="28" t="str">
        <x:v>Confluence Page TBD</x:v>
      </x:c>
      <x:c r="J19" s="28" t="str">
        <x:v>Mermaid Node TBD</x:v>
      </x:c>
      <x:c r="K19" s="28" t="str">
        <x:v>Planned</x:v>
      </x:c>
      <x:c r="L19" s="28" t="str">
        <x:v>BA</x:v>
      </x:c>
    </x:row>
    <x:row r="20">
      <x:c r="A20" s="28" t="str">
        <x:v>REQ-017</x:v>
      </x:c>
      <x:c r="B20" s="28" t="str">
        <x:v>S06</x:v>
      </x:c>
      <x:c r="C20" s="28" t="str">
        <x:v>E06</x:v>
      </x:c>
      <x:c r="D20" s="28" t="str">
        <x:v>US017</x:v>
      </x:c>
      <x:c r="E20" s="28" t="str">
        <x:v>US017-AC1..AC4</x:v>
      </x:c>
      <x:c r="F20" s="28" t="str">
        <x:v>BR-us017</x:v>
      </x:c>
      <x:c r="G20" s="28" t="str">
        <x:v>PR-us017</x:v>
      </x:c>
      <x:c r="H20" s="28" t="str">
        <x:v>TEST-us017</x:v>
      </x:c>
      <x:c r="I20" s="28" t="str">
        <x:v>Confluence Page TBD</x:v>
      </x:c>
      <x:c r="J20" s="28" t="str">
        <x:v>Mermaid Node TBD</x:v>
      </x:c>
      <x:c r="K20" s="28" t="str">
        <x:v>Planned</x:v>
      </x:c>
      <x:c r="L20" s="28" t="str">
        <x:v>BA</x:v>
      </x:c>
    </x:row>
    <x:row r="21">
      <x:c r="A21" s="28" t="str">
        <x:v>REQ-018</x:v>
      </x:c>
      <x:c r="B21" s="28" t="str">
        <x:v>S06</x:v>
      </x:c>
      <x:c r="C21" s="28" t="str">
        <x:v>E06</x:v>
      </x:c>
      <x:c r="D21" s="28" t="str">
        <x:v>US018</x:v>
      </x:c>
      <x:c r="E21" s="28" t="str">
        <x:v>US018-AC1..AC4</x:v>
      </x:c>
      <x:c r="F21" s="28" t="str">
        <x:v>BR-us018</x:v>
      </x:c>
      <x:c r="G21" s="28" t="str">
        <x:v>PR-us018</x:v>
      </x:c>
      <x:c r="H21" s="28" t="str">
        <x:v>TEST-us018</x:v>
      </x:c>
      <x:c r="I21" s="28" t="str">
        <x:v>Confluence Page TBD</x:v>
      </x:c>
      <x:c r="J21" s="28" t="str">
        <x:v>Mermaid Node TBD</x:v>
      </x:c>
      <x:c r="K21" s="28" t="str">
        <x:v>Planned</x:v>
      </x:c>
      <x:c r="L21" s="28" t="str">
        <x:v>Scrum Master</x:v>
      </x:c>
    </x:row>
    <x:row r="22">
      <x:c r="A22" s="28" t="str">
        <x:v>REQ-019</x:v>
      </x:c>
      <x:c r="B22" s="28" t="str">
        <x:v>S07</x:v>
      </x:c>
      <x:c r="C22" s="28" t="str">
        <x:v>E07</x:v>
      </x:c>
      <x:c r="D22" s="28" t="str">
        <x:v>US019</x:v>
      </x:c>
      <x:c r="E22" s="28" t="str">
        <x:v>US019-AC1..AC4</x:v>
      </x:c>
      <x:c r="F22" s="28" t="str">
        <x:v>BR-us019</x:v>
      </x:c>
      <x:c r="G22" s="28" t="str">
        <x:v>PR-us019</x:v>
      </x:c>
      <x:c r="H22" s="28" t="str">
        <x:v>TEST-us019</x:v>
      </x:c>
      <x:c r="I22" s="28" t="str">
        <x:v>Confluence Page TBD</x:v>
      </x:c>
      <x:c r="J22" s="28" t="str">
        <x:v>Mermaid Node TBD</x:v>
      </x:c>
      <x:c r="K22" s="28" t="str">
        <x:v>Planned</x:v>
      </x:c>
      <x:c r="L22" s="28" t="str">
        <x:v>QA</x:v>
      </x:c>
    </x:row>
    <x:row r="23">
      <x:c r="A23" s="28" t="str">
        <x:v>REQ-020</x:v>
      </x:c>
      <x:c r="B23" s="28" t="str">
        <x:v>S07</x:v>
      </x:c>
      <x:c r="C23" s="28" t="str">
        <x:v>E07</x:v>
      </x:c>
      <x:c r="D23" s="28" t="str">
        <x:v>US020</x:v>
      </x:c>
      <x:c r="E23" s="28" t="str">
        <x:v>US020-AC1..AC4</x:v>
      </x:c>
      <x:c r="F23" s="28" t="str">
        <x:v>BR-us020</x:v>
      </x:c>
      <x:c r="G23" s="28" t="str">
        <x:v>PR-us020</x:v>
      </x:c>
      <x:c r="H23" s="28" t="str">
        <x:v>TEST-us020</x:v>
      </x:c>
      <x:c r="I23" s="28" t="str">
        <x:v>Confluence Page TBD</x:v>
      </x:c>
      <x:c r="J23" s="28" t="str">
        <x:v>Mermaid Node TBD</x:v>
      </x:c>
      <x:c r="K23" s="28" t="str">
        <x:v>Planned</x:v>
      </x:c>
      <x:c r="L23" s="28" t="str">
        <x:v>BA</x:v>
      </x:c>
    </x:row>
    <x:row r="24">
      <x:c r="A24" s="28" t="str">
        <x:v>REQ-021</x:v>
      </x:c>
      <x:c r="B24" s="28" t="str">
        <x:v>S07</x:v>
      </x:c>
      <x:c r="C24" s="28" t="str">
        <x:v>E07</x:v>
      </x:c>
      <x:c r="D24" s="28" t="str">
        <x:v>US021</x:v>
      </x:c>
      <x:c r="E24" s="28" t="str">
        <x:v>US021-AC1..AC4</x:v>
      </x:c>
      <x:c r="F24" s="28" t="str">
        <x:v>BR-us021</x:v>
      </x:c>
      <x:c r="G24" s="28" t="str">
        <x:v>PR-us021</x:v>
      </x:c>
      <x:c r="H24" s="28" t="str">
        <x:v>TEST-us021</x:v>
      </x:c>
      <x:c r="I24" s="28" t="str">
        <x:v>Confluence Page TBD</x:v>
      </x:c>
      <x:c r="J24" s="28" t="str">
        <x:v>Mermaid Node TBD</x:v>
      </x:c>
      <x:c r="K24" s="28" t="str">
        <x:v>Planned</x:v>
      </x:c>
      <x:c r="L24" s="28" t="str">
        <x:v>QA</x:v>
      </x:c>
    </x:row>
    <x:row r="25">
      <x:c r="A25" s="28" t="str">
        <x:v>REQ-022</x:v>
      </x:c>
      <x:c r="B25" s="28" t="str">
        <x:v>S13</x:v>
      </x:c>
      <x:c r="C25" s="28" t="str">
        <x:v>E08</x:v>
      </x:c>
      <x:c r="D25" s="28" t="str">
        <x:v>US022</x:v>
      </x:c>
      <x:c r="E25" s="28" t="str">
        <x:v>US022-AC1..AC4</x:v>
      </x:c>
      <x:c r="F25" s="28" t="str">
        <x:v>BR-us022</x:v>
      </x:c>
      <x:c r="G25" s="28" t="str">
        <x:v>PR-us022</x:v>
      </x:c>
      <x:c r="H25" s="28" t="str">
        <x:v>TEST-us022</x:v>
      </x:c>
      <x:c r="I25" s="28" t="str">
        <x:v>Confluence Page TBD</x:v>
      </x:c>
      <x:c r="J25" s="28" t="str">
        <x:v>Mermaid Node TBD</x:v>
      </x:c>
      <x:c r="K25" s="28" t="str">
        <x:v>Planned</x:v>
      </x:c>
      <x:c r="L25" s="28" t="str">
        <x:v>Documentation Agent</x:v>
      </x:c>
    </x:row>
    <x:row r="26">
      <x:c r="A26" s="28" t="str">
        <x:v>REQ-023</x:v>
      </x:c>
      <x:c r="B26" s="28" t="str">
        <x:v>S13</x:v>
      </x:c>
      <x:c r="C26" s="28" t="str">
        <x:v>E08</x:v>
      </x:c>
      <x:c r="D26" s="28" t="str">
        <x:v>US023</x:v>
      </x:c>
      <x:c r="E26" s="28" t="str">
        <x:v>US023-AC1..AC4</x:v>
      </x:c>
      <x:c r="F26" s="28" t="str">
        <x:v>BR-us023</x:v>
      </x:c>
      <x:c r="G26" s="28" t="str">
        <x:v>PR-us023</x:v>
      </x:c>
      <x:c r="H26" s="28" t="str">
        <x:v>TEST-us023</x:v>
      </x:c>
      <x:c r="I26" s="28" t="str">
        <x:v>Confluence Page TBD</x:v>
      </x:c>
      <x:c r="J26" s="28" t="str">
        <x:v>Mermaid Node TBD</x:v>
      </x:c>
      <x:c r="K26" s="28" t="str">
        <x:v>Planned</x:v>
      </x:c>
      <x:c r="L26" s="28" t="str">
        <x:v>BA</x:v>
      </x:c>
    </x:row>
    <x:row r="27">
      <x:c r="A27" s="28" t="str">
        <x:v>REQ-024</x:v>
      </x:c>
      <x:c r="B27" s="28" t="str">
        <x:v>S13</x:v>
      </x:c>
      <x:c r="C27" s="28" t="str">
        <x:v>E08</x:v>
      </x:c>
      <x:c r="D27" s="28" t="str">
        <x:v>US024</x:v>
      </x:c>
      <x:c r="E27" s="28" t="str">
        <x:v>US024-AC1..AC4</x:v>
      </x:c>
      <x:c r="F27" s="28" t="str">
        <x:v>BR-us024</x:v>
      </x:c>
      <x:c r="G27" s="28" t="str">
        <x:v>PR-us024</x:v>
      </x:c>
      <x:c r="H27" s="28" t="str">
        <x:v>TEST-us024</x:v>
      </x:c>
      <x:c r="I27" s="28" t="str">
        <x:v>Confluence Page TBD</x:v>
      </x:c>
      <x:c r="J27" s="28" t="str">
        <x:v>Mermaid Node TBD</x:v>
      </x:c>
      <x:c r="K27" s="28" t="str">
        <x:v>Planned</x:v>
      </x:c>
      <x:c r="L27" s="28" t="str">
        <x:v>PM</x:v>
      </x:c>
    </x:row>
    <x:row r="28">
      <x:c r="A28" s="28" t="str">
        <x:v>REQ-025</x:v>
      </x:c>
      <x:c r="B28" s="28" t="str">
        <x:v>S08</x:v>
      </x:c>
      <x:c r="C28" s="28" t="str">
        <x:v>E09</x:v>
      </x:c>
      <x:c r="D28" s="28" t="str">
        <x:v>US025</x:v>
      </x:c>
      <x:c r="E28" s="28" t="str">
        <x:v>US025-AC1..AC4</x:v>
      </x:c>
      <x:c r="F28" s="28" t="str">
        <x:v>BR-us025</x:v>
      </x:c>
      <x:c r="G28" s="28" t="str">
        <x:v>PR-us025</x:v>
      </x:c>
      <x:c r="H28" s="28" t="str">
        <x:v>TEST-us025</x:v>
      </x:c>
      <x:c r="I28" s="28" t="str">
        <x:v>Confluence Page TBD</x:v>
      </x:c>
      <x:c r="J28" s="28" t="str">
        <x:v>Mermaid Node TBD</x:v>
      </x:c>
      <x:c r="K28" s="28" t="str">
        <x:v>Planned</x:v>
      </x:c>
      <x:c r="L28" s="28" t="str">
        <x:v>Project Manager</x:v>
      </x:c>
    </x:row>
    <x:row r="29">
      <x:c r="A29" s="28" t="str">
        <x:v>REQ-026</x:v>
      </x:c>
      <x:c r="B29" s="28" t="str">
        <x:v>S08</x:v>
      </x:c>
      <x:c r="C29" s="28" t="str">
        <x:v>E09</x:v>
      </x:c>
      <x:c r="D29" s="28" t="str">
        <x:v>US026</x:v>
      </x:c>
      <x:c r="E29" s="28" t="str">
        <x:v>US026-AC1..AC4</x:v>
      </x:c>
      <x:c r="F29" s="28" t="str">
        <x:v>BR-us026</x:v>
      </x:c>
      <x:c r="G29" s="28" t="str">
        <x:v>PR-us026</x:v>
      </x:c>
      <x:c r="H29" s="28" t="str">
        <x:v>TEST-us026</x:v>
      </x:c>
      <x:c r="I29" s="28" t="str">
        <x:v>Confluence Page TBD</x:v>
      </x:c>
      <x:c r="J29" s="28" t="str">
        <x:v>Mermaid Node TBD</x:v>
      </x:c>
      <x:c r="K29" s="28" t="str">
        <x:v>Planned</x:v>
      </x:c>
      <x:c r="L29" s="28" t="str">
        <x:v>PM</x:v>
      </x:c>
    </x:row>
    <x:row r="30">
      <x:c r="A30" s="28" t="str">
        <x:v>REQ-027</x:v>
      </x:c>
      <x:c r="B30" s="28" t="str">
        <x:v>S08</x:v>
      </x:c>
      <x:c r="C30" s="28" t="str">
        <x:v>E09</x:v>
      </x:c>
      <x:c r="D30" s="28" t="str">
        <x:v>US027</x:v>
      </x:c>
      <x:c r="E30" s="28" t="str">
        <x:v>US027-AC1..AC4</x:v>
      </x:c>
      <x:c r="F30" s="28" t="str">
        <x:v>BR-us027</x:v>
      </x:c>
      <x:c r="G30" s="28" t="str">
        <x:v>PR-us027</x:v>
      </x:c>
      <x:c r="H30" s="28" t="str">
        <x:v>TEST-us027</x:v>
      </x:c>
      <x:c r="I30" s="28" t="str">
        <x:v>Confluence Page TBD</x:v>
      </x:c>
      <x:c r="J30" s="28" t="str">
        <x:v>Mermaid Node TBD</x:v>
      </x:c>
      <x:c r="K30" s="28" t="str">
        <x:v>Planned</x:v>
      </x:c>
      <x:c r="L30" s="28" t="str">
        <x:v>BA</x:v>
      </x:c>
    </x:row>
    <x:row r="31">
      <x:c r="A31" s="28" t="str">
        <x:v>REQ-028</x:v>
      </x:c>
      <x:c r="B31" s="28" t="str">
        <x:v>S09</x:v>
      </x:c>
      <x:c r="C31" s="28" t="str">
        <x:v>E10</x:v>
      </x:c>
      <x:c r="D31" s="28" t="str">
        <x:v>US028</x:v>
      </x:c>
      <x:c r="E31" s="28" t="str">
        <x:v>US028-AC1..AC4</x:v>
      </x:c>
      <x:c r="F31" s="28" t="str">
        <x:v>BR-us028</x:v>
      </x:c>
      <x:c r="G31" s="28" t="str">
        <x:v>PR-us028</x:v>
      </x:c>
      <x:c r="H31" s="28" t="str">
        <x:v>TEST-us028</x:v>
      </x:c>
      <x:c r="I31" s="28" t="str">
        <x:v>Confluence Page TBD</x:v>
      </x:c>
      <x:c r="J31" s="28" t="str">
        <x:v>Mermaid Node TBD</x:v>
      </x:c>
      <x:c r="K31" s="28" t="str">
        <x:v>Planned</x:v>
      </x:c>
      <x:c r="L31" s="28" t="str">
        <x:v>Engineering</x:v>
      </x:c>
    </x:row>
    <x:row r="32">
      <x:c r="A32" s="28" t="str">
        <x:v>REQ-029</x:v>
      </x:c>
      <x:c r="B32" s="28" t="str">
        <x:v>S09</x:v>
      </x:c>
      <x:c r="C32" s="28" t="str">
        <x:v>E10</x:v>
      </x:c>
      <x:c r="D32" s="28" t="str">
        <x:v>US029</x:v>
      </x:c>
      <x:c r="E32" s="28" t="str">
        <x:v>US029-AC1..AC4</x:v>
      </x:c>
      <x:c r="F32" s="28" t="str">
        <x:v>BR-us029</x:v>
      </x:c>
      <x:c r="G32" s="28" t="str">
        <x:v>PR-us029</x:v>
      </x:c>
      <x:c r="H32" s="28" t="str">
        <x:v>TEST-us029</x:v>
      </x:c>
      <x:c r="I32" s="28" t="str">
        <x:v>Confluence Page TBD</x:v>
      </x:c>
      <x:c r="J32" s="28" t="str">
        <x:v>Mermaid Node TBD</x:v>
      </x:c>
      <x:c r="K32" s="28" t="str">
        <x:v>Planned</x:v>
      </x:c>
      <x:c r="L32" s="28" t="str">
        <x:v>Engineering</x:v>
      </x:c>
    </x:row>
    <x:row r="33">
      <x:c r="A33" s="28" t="str">
        <x:v>REQ-030</x:v>
      </x:c>
      <x:c r="B33" s="28" t="str">
        <x:v>S10</x:v>
      </x:c>
      <x:c r="C33" s="28" t="str">
        <x:v>E10</x:v>
      </x:c>
      <x:c r="D33" s="28" t="str">
        <x:v>US030</x:v>
      </x:c>
      <x:c r="E33" s="28" t="str">
        <x:v>US030-AC1..AC4</x:v>
      </x:c>
      <x:c r="F33" s="28" t="str">
        <x:v>BR-us030</x:v>
      </x:c>
      <x:c r="G33" s="28" t="str">
        <x:v>PR-us030</x:v>
      </x:c>
      <x:c r="H33" s="28" t="str">
        <x:v>TEST-us030</x:v>
      </x:c>
      <x:c r="I33" s="28" t="str">
        <x:v>Confluence Page TBD</x:v>
      </x:c>
      <x:c r="J33" s="28" t="str">
        <x:v>Mermaid Node TBD</x:v>
      </x:c>
      <x:c r="K33" s="28" t="str">
        <x:v>Planned</x:v>
      </x:c>
      <x:c r="L33" s="28" t="str">
        <x:v>Engineering Lead</x:v>
      </x:c>
    </x:row>
    <x:row r="34">
      <x:c r="A34" s="28" t="str">
        <x:v>REQ-031</x:v>
      </x:c>
      <x:c r="B34" s="28" t="str">
        <x:v>S11</x:v>
      </x:c>
      <x:c r="C34" s="28" t="str">
        <x:v>E11</x:v>
      </x:c>
      <x:c r="D34" s="28" t="str">
        <x:v>US031</x:v>
      </x:c>
      <x:c r="E34" s="28" t="str">
        <x:v>US031-AC1..AC4</x:v>
      </x:c>
      <x:c r="F34" s="28" t="str">
        <x:v>BR-us031</x:v>
      </x:c>
      <x:c r="G34" s="28" t="str">
        <x:v>PR-us031</x:v>
      </x:c>
      <x:c r="H34" s="28" t="str">
        <x:v>TEST-us031</x:v>
      </x:c>
      <x:c r="I34" s="28" t="str">
        <x:v>Confluence Page TBD</x:v>
      </x:c>
      <x:c r="J34" s="28" t="str">
        <x:v>Mermaid Node TBD</x:v>
      </x:c>
      <x:c r="K34" s="28" t="str">
        <x:v>Planned</x:v>
      </x:c>
      <x:c r="L34" s="28" t="str">
        <x:v>QA</x:v>
      </x:c>
    </x:row>
    <x:row r="35">
      <x:c r="A35" s="28" t="str">
        <x:v>REQ-032</x:v>
      </x:c>
      <x:c r="B35" s="28" t="str">
        <x:v>S11</x:v>
      </x:c>
      <x:c r="C35" s="28" t="str">
        <x:v>E11</x:v>
      </x:c>
      <x:c r="D35" s="28" t="str">
        <x:v>US032</x:v>
      </x:c>
      <x:c r="E35" s="28" t="str">
        <x:v>US032-AC1..AC4</x:v>
      </x:c>
      <x:c r="F35" s="28" t="str">
        <x:v>BR-us032</x:v>
      </x:c>
      <x:c r="G35" s="28" t="str">
        <x:v>PR-us032</x:v>
      </x:c>
      <x:c r="H35" s="28" t="str">
        <x:v>TEST-us032</x:v>
      </x:c>
      <x:c r="I35" s="28" t="str">
        <x:v>Confluence Page TBD</x:v>
      </x:c>
      <x:c r="J35" s="28" t="str">
        <x:v>Mermaid Node TBD</x:v>
      </x:c>
      <x:c r="K35" s="28" t="str">
        <x:v>Planned</x:v>
      </x:c>
      <x:c r="L35" s="28" t="str">
        <x:v>Engineering Lead</x:v>
      </x:c>
    </x:row>
    <x:row r="36">
      <x:c r="A36" s="28" t="str">
        <x:v>REQ-033</x:v>
      </x:c>
      <x:c r="B36" s="28" t="str">
        <x:v>S11</x:v>
      </x:c>
      <x:c r="C36" s="28" t="str">
        <x:v>E11</x:v>
      </x:c>
      <x:c r="D36" s="28" t="str">
        <x:v>US033</x:v>
      </x:c>
      <x:c r="E36" s="28" t="str">
        <x:v>US033-AC1..AC4</x:v>
      </x:c>
      <x:c r="F36" s="28" t="str">
        <x:v>BR-us033</x:v>
      </x:c>
      <x:c r="G36" s="28" t="str">
        <x:v>PR-us033</x:v>
      </x:c>
      <x:c r="H36" s="28" t="str">
        <x:v>TEST-us033</x:v>
      </x:c>
      <x:c r="I36" s="28" t="str">
        <x:v>Confluence Page TBD</x:v>
      </x:c>
      <x:c r="J36" s="28" t="str">
        <x:v>Mermaid Node TBD</x:v>
      </x:c>
      <x:c r="K36" s="28" t="str">
        <x:v>Planned</x:v>
      </x:c>
      <x:c r="L36" s="28" t="str">
        <x:v>Security</x:v>
      </x:c>
    </x:row>
    <x:row r="37">
      <x:c r="A37" s="28" t="str">
        <x:v>REQ-034</x:v>
      </x:c>
      <x:c r="B37" s="28" t="str">
        <x:v>S12</x:v>
      </x:c>
      <x:c r="C37" s="28" t="str">
        <x:v>E12</x:v>
      </x:c>
      <x:c r="D37" s="28" t="str">
        <x:v>US034</x:v>
      </x:c>
      <x:c r="E37" s="28" t="str">
        <x:v>US034-AC1..AC4</x:v>
      </x:c>
      <x:c r="F37" s="28" t="str">
        <x:v>BR-us034</x:v>
      </x:c>
      <x:c r="G37" s="28" t="str">
        <x:v>PR-us034</x:v>
      </x:c>
      <x:c r="H37" s="28" t="str">
        <x:v>TEST-us034</x:v>
      </x:c>
      <x:c r="I37" s="28" t="str">
        <x:v>Confluence Page TBD</x:v>
      </x:c>
      <x:c r="J37" s="28" t="str">
        <x:v>Mermaid Node TBD</x:v>
      </x:c>
      <x:c r="K37" s="28" t="str">
        <x:v>Planned</x:v>
      </x:c>
      <x:c r="L37" s="28" t="str">
        <x:v>Product Manager</x:v>
      </x:c>
    </x:row>
    <x:row r="38">
      <x:c r="A38" s="28" t="str">
        <x:v>REQ-035</x:v>
      </x:c>
      <x:c r="B38" s="28" t="str">
        <x:v>S12</x:v>
      </x:c>
      <x:c r="C38" s="28" t="str">
        <x:v>E12</x:v>
      </x:c>
      <x:c r="D38" s="28" t="str">
        <x:v>US035</x:v>
      </x:c>
      <x:c r="E38" s="28" t="str">
        <x:v>US035-AC1..AC4</x:v>
      </x:c>
      <x:c r="F38" s="28" t="str">
        <x:v>BR-us035</x:v>
      </x:c>
      <x:c r="G38" s="28" t="str">
        <x:v>PR-us035</x:v>
      </x:c>
      <x:c r="H38" s="28" t="str">
        <x:v>TEST-us035</x:v>
      </x:c>
      <x:c r="I38" s="28" t="str">
        <x:v>Confluence Page TBD</x:v>
      </x:c>
      <x:c r="J38" s="28" t="str">
        <x:v>Mermaid Node TBD</x:v>
      </x:c>
      <x:c r="K38" s="28" t="str">
        <x:v>Planned</x:v>
      </x:c>
      <x:c r="L38" s="28" t="str">
        <x:v>BA</x:v>
      </x:c>
    </x:row>
    <x:row r="39">
      <x:c r="A39" s="28" t="str">
        <x:v>REQ-036</x:v>
      </x:c>
      <x:c r="B39" s="28" t="str">
        <x:v>S12</x:v>
      </x:c>
      <x:c r="C39" s="28" t="str">
        <x:v>E12</x:v>
      </x:c>
      <x:c r="D39" s="28" t="str">
        <x:v>US036</x:v>
      </x:c>
      <x:c r="E39" s="28" t="str">
        <x:v>US036-AC1..AC4</x:v>
      </x:c>
      <x:c r="F39" s="28" t="str">
        <x:v>BR-us036</x:v>
      </x:c>
      <x:c r="G39" s="28" t="str">
        <x:v>PR-us036</x:v>
      </x:c>
      <x:c r="H39" s="28" t="str">
        <x:v>TEST-us036</x:v>
      </x:c>
      <x:c r="I39" s="28" t="str">
        <x:v>Confluence Page TBD</x:v>
      </x:c>
      <x:c r="J39" s="28" t="str">
        <x:v>Mermaid Node TBD</x:v>
      </x:c>
      <x:c r="K39" s="28" t="str">
        <x:v>Planned</x:v>
      </x:c>
      <x:c r="L39" s="28" t="str">
        <x:v>PMO</x:v>
      </x:c>
    </x:row>
    <x:row r="40">
      <x:c r="A40" s="28" t="str">
        <x:v>REQ-037</x:v>
      </x:c>
      <x:c r="B40" s="28" t="str">
        <x:v>S16</x:v>
      </x:c>
      <x:c r="C40" s="28" t="str">
        <x:v>E13</x:v>
      </x:c>
      <x:c r="D40" s="28" t="str">
        <x:v>US037</x:v>
      </x:c>
      <x:c r="E40" s="28" t="str">
        <x:v>US037-AC1..AC4</x:v>
      </x:c>
      <x:c r="F40" s="28" t="str">
        <x:v>BR-us037</x:v>
      </x:c>
      <x:c r="G40" s="28" t="str">
        <x:v>PR-us037</x:v>
      </x:c>
      <x:c r="H40" s="28" t="str">
        <x:v>TEST-us037</x:v>
      </x:c>
      <x:c r="I40" s="28" t="str">
        <x:v>Confluence Page TBD</x:v>
      </x:c>
      <x:c r="J40" s="28" t="str">
        <x:v>Mermaid Node TBD</x:v>
      </x:c>
      <x:c r="K40" s="28" t="str">
        <x:v>Planned</x:v>
      </x:c>
      <x:c r="L40" s="28" t="str">
        <x:v>Scrum Master</x:v>
      </x:c>
    </x:row>
    <x:row r="41">
      <x:c r="A41" s="28" t="str">
        <x:v>REQ-038</x:v>
      </x:c>
      <x:c r="B41" s="28" t="str">
        <x:v>S16</x:v>
      </x:c>
      <x:c r="C41" s="28" t="str">
        <x:v>E13</x:v>
      </x:c>
      <x:c r="D41" s="28" t="str">
        <x:v>US038</x:v>
      </x:c>
      <x:c r="E41" s="28" t="str">
        <x:v>US038-AC1..AC4</x:v>
      </x:c>
      <x:c r="F41" s="28" t="str">
        <x:v>BR-us038</x:v>
      </x:c>
      <x:c r="G41" s="28" t="str">
        <x:v>PR-us038</x:v>
      </x:c>
      <x:c r="H41" s="28" t="str">
        <x:v>TEST-us038</x:v>
      </x:c>
      <x:c r="I41" s="28" t="str">
        <x:v>Confluence Page TBD</x:v>
      </x:c>
      <x:c r="J41" s="28" t="str">
        <x:v>Mermaid Node TBD</x:v>
      </x:c>
      <x:c r="K41" s="28" t="str">
        <x:v>Planned</x:v>
      </x:c>
      <x:c r="L41" s="28" t="str">
        <x:v>PM</x:v>
      </x:c>
    </x:row>
    <x:row r="42">
      <x:c r="A42" s="28" t="str">
        <x:v>REQ-039</x:v>
      </x:c>
      <x:c r="B42" s="28" t="str">
        <x:v>S16</x:v>
      </x:c>
      <x:c r="C42" s="28" t="str">
        <x:v>E13</x:v>
      </x:c>
      <x:c r="D42" s="28" t="str">
        <x:v>US039</x:v>
      </x:c>
      <x:c r="E42" s="28" t="str">
        <x:v>US039-AC1..AC4</x:v>
      </x:c>
      <x:c r="F42" s="28" t="str">
        <x:v>BR-us039</x:v>
      </x:c>
      <x:c r="G42" s="28" t="str">
        <x:v>PR-us039</x:v>
      </x:c>
      <x:c r="H42" s="28" t="str">
        <x:v>TEST-us039</x:v>
      </x:c>
      <x:c r="I42" s="28" t="str">
        <x:v>Confluence Page TBD</x:v>
      </x:c>
      <x:c r="J42" s="28" t="str">
        <x:v>Mermaid Node TBD</x:v>
      </x:c>
      <x:c r="K42" s="28" t="str">
        <x:v>Planned</x:v>
      </x:c>
      <x:c r="L42" s="28" t="str">
        <x:v>PM</x:v>
      </x:c>
    </x:row>
    <x:row r="43">
      <x:c r="A43" s="28" t="str">
        <x:v>REQ-040</x:v>
      </x:c>
      <x:c r="B43" s="28" t="str">
        <x:v>S16</x:v>
      </x:c>
      <x:c r="C43" s="28" t="str">
        <x:v>E14</x:v>
      </x:c>
      <x:c r="D43" s="28" t="str">
        <x:v>US040</x:v>
      </x:c>
      <x:c r="E43" s="28" t="str">
        <x:v>US040-AC1..AC4</x:v>
      </x:c>
      <x:c r="F43" s="28" t="str">
        <x:v>BR-us040</x:v>
      </x:c>
      <x:c r="G43" s="28" t="str">
        <x:v>PR-us040</x:v>
      </x:c>
      <x:c r="H43" s="28" t="str">
        <x:v>TEST-us040</x:v>
      </x:c>
      <x:c r="I43" s="28" t="str">
        <x:v>Confluence Page TBD</x:v>
      </x:c>
      <x:c r="J43" s="28" t="str">
        <x:v>Mermaid Node TBD</x:v>
      </x:c>
      <x:c r="K43" s="28" t="str">
        <x:v>Planned</x:v>
      </x:c>
      <x:c r="L43" s="28" t="str">
        <x:v>PM</x:v>
      </x:c>
    </x:row>
    <x:row r="44">
      <x:c r="A44" s="28" t="str">
        <x:v>REQ-041</x:v>
      </x:c>
      <x:c r="B44" s="28" t="str">
        <x:v>S15</x:v>
      </x:c>
      <x:c r="C44" s="28" t="str">
        <x:v>E14</x:v>
      </x:c>
      <x:c r="D44" s="28" t="str">
        <x:v>US041</x:v>
      </x:c>
      <x:c r="E44" s="28" t="str">
        <x:v>US041-AC1..AC4</x:v>
      </x:c>
      <x:c r="F44" s="28" t="str">
        <x:v>BR-us041</x:v>
      </x:c>
      <x:c r="G44" s="28" t="str">
        <x:v>PR-us041</x:v>
      </x:c>
      <x:c r="H44" s="28" t="str">
        <x:v>TEST-us041</x:v>
      </x:c>
      <x:c r="I44" s="28" t="str">
        <x:v>Confluence Page TBD</x:v>
      </x:c>
      <x:c r="J44" s="28" t="str">
        <x:v>Mermaid Node TBD</x:v>
      </x:c>
      <x:c r="K44" s="28" t="str">
        <x:v>Planned</x:v>
      </x:c>
      <x:c r="L44" s="28" t="str">
        <x:v>Product Manager</x:v>
      </x:c>
    </x:row>
    <x:row r="45">
      <x:c r="A45" s="28" t="str">
        <x:v>REQ-042</x:v>
      </x:c>
      <x:c r="B45" s="28" t="str">
        <x:v>S15</x:v>
      </x:c>
      <x:c r="C45" s="28" t="str">
        <x:v>E14</x:v>
      </x:c>
      <x:c r="D45" s="28" t="str">
        <x:v>US042</x:v>
      </x:c>
      <x:c r="E45" s="28" t="str">
        <x:v>US042-AC1..AC4</x:v>
      </x:c>
      <x:c r="F45" s="28" t="str">
        <x:v>BR-us042</x:v>
      </x:c>
      <x:c r="G45" s="28" t="str">
        <x:v>PR-us042</x:v>
      </x:c>
      <x:c r="H45" s="28" t="str">
        <x:v>TEST-us042</x:v>
      </x:c>
      <x:c r="I45" s="28" t="str">
        <x:v>Confluence Page TBD</x:v>
      </x:c>
      <x:c r="J45" s="28" t="str">
        <x:v>Mermaid Node TBD</x:v>
      </x:c>
      <x:c r="K45" s="28" t="str">
        <x:v>Planned</x:v>
      </x:c>
      <x:c r="L45" s="28" t="str">
        <x:v>Engineering Lead</x:v>
      </x:c>
    </x:row>
    <x:row r="46">
      <x:c r="A46" s="28" t="str">
        <x:v>REQ-043</x:v>
      </x:c>
      <x:c r="B46" s="28" t="str">
        <x:v>S15</x:v>
      </x:c>
      <x:c r="C46" s="28" t="str">
        <x:v>E15</x:v>
      </x:c>
      <x:c r="D46" s="28" t="str">
        <x:v>US043</x:v>
      </x:c>
      <x:c r="E46" s="28" t="str">
        <x:v>US043-AC1..AC4</x:v>
      </x:c>
      <x:c r="F46" s="28" t="str">
        <x:v>BR-us043</x:v>
      </x:c>
      <x:c r="G46" s="28" t="str">
        <x:v>PR-us043</x:v>
      </x:c>
      <x:c r="H46" s="28" t="str">
        <x:v>TEST-us043</x:v>
      </x:c>
      <x:c r="I46" s="28" t="str">
        <x:v>Confluence Page TBD</x:v>
      </x:c>
      <x:c r="J46" s="28" t="str">
        <x:v>Mermaid Node TBD</x:v>
      </x:c>
      <x:c r="K46" s="28" t="str">
        <x:v>Planned</x:v>
      </x:c>
      <x:c r="L46" s="28" t="str">
        <x:v>PM</x:v>
      </x:c>
    </x:row>
    <x:row r="47">
      <x:c r="A47" s="28" t="str">
        <x:v>REQ-044</x:v>
      </x:c>
      <x:c r="B47" s="28" t="str">
        <x:v>S15</x:v>
      </x:c>
      <x:c r="C47" s="28" t="str">
        <x:v>E15</x:v>
      </x:c>
      <x:c r="D47" s="28" t="str">
        <x:v>US044</x:v>
      </x:c>
      <x:c r="E47" s="28" t="str">
        <x:v>US044-AC1..AC4</x:v>
      </x:c>
      <x:c r="F47" s="28" t="str">
        <x:v>BR-us044</x:v>
      </x:c>
      <x:c r="G47" s="28" t="str">
        <x:v>PR-us044</x:v>
      </x:c>
      <x:c r="H47" s="28" t="str">
        <x:v>TEST-us044</x:v>
      </x:c>
      <x:c r="I47" s="28" t="str">
        <x:v>Confluence Page TBD</x:v>
      </x:c>
      <x:c r="J47" s="28" t="str">
        <x:v>Mermaid Node TBD</x:v>
      </x:c>
      <x:c r="K47" s="28" t="str">
        <x:v>Planned</x:v>
      </x:c>
      <x:c r="L47" s="28" t="str">
        <x:v>PM</x:v>
      </x:c>
    </x:row>
    <x:row r="48">
      <x:c r="A48" s="28" t="str">
        <x:v>REQ-045</x:v>
      </x:c>
      <x:c r="B48" s="28" t="str">
        <x:v>S15</x:v>
      </x:c>
      <x:c r="C48" s="28" t="str">
        <x:v>E15</x:v>
      </x:c>
      <x:c r="D48" s="28" t="str">
        <x:v>US045</x:v>
      </x:c>
      <x:c r="E48" s="28" t="str">
        <x:v>US045-AC1..AC4</x:v>
      </x:c>
      <x:c r="F48" s="28" t="str">
        <x:v>BR-us045</x:v>
      </x:c>
      <x:c r="G48" s="28" t="str">
        <x:v>PR-us045</x:v>
      </x:c>
      <x:c r="H48" s="28" t="str">
        <x:v>TEST-us045</x:v>
      </x:c>
      <x:c r="I48" s="28" t="str">
        <x:v>Confluence Page TBD</x:v>
      </x:c>
      <x:c r="J48" s="28" t="str">
        <x:v>Mermaid Node TBD</x:v>
      </x:c>
      <x:c r="K48" s="28" t="str">
        <x:v>Planned</x:v>
      </x:c>
      <x:c r="L48" s="28" t="str">
        <x:v>Finance</x:v>
      </x:c>
    </x:row>
    <x:row r="49">
      <x:c r="A49" s="28" t="str">
        <x:v>REQ-046</x:v>
      </x:c>
      <x:c r="B49" s="28" t="str">
        <x:v>S19</x:v>
      </x:c>
      <x:c r="C49" s="28" t="str">
        <x:v>E16</x:v>
      </x:c>
      <x:c r="D49" s="28" t="str">
        <x:v>US046</x:v>
      </x:c>
      <x:c r="E49" s="28" t="str">
        <x:v>US046-AC1..AC4</x:v>
      </x:c>
      <x:c r="F49" s="28" t="str">
        <x:v>BR-us046</x:v>
      </x:c>
      <x:c r="G49" s="28" t="str">
        <x:v>PR-us046</x:v>
      </x:c>
      <x:c r="H49" s="28" t="str">
        <x:v>TEST-us046</x:v>
      </x:c>
      <x:c r="I49" s="28" t="str">
        <x:v>Confluence Page TBD</x:v>
      </x:c>
      <x:c r="J49" s="28" t="str">
        <x:v>Mermaid Node TBD</x:v>
      </x:c>
      <x:c r="K49" s="28" t="str">
        <x:v>Planned</x:v>
      </x:c>
      <x:c r="L49" s="28" t="str">
        <x:v>Product Manager</x:v>
      </x:c>
    </x:row>
    <x:row r="50">
      <x:c r="A50" s="28" t="str">
        <x:v>REQ-047</x:v>
      </x:c>
      <x:c r="B50" s="28" t="str">
        <x:v>S19</x:v>
      </x:c>
      <x:c r="C50" s="28" t="str">
        <x:v>E16</x:v>
      </x:c>
      <x:c r="D50" s="28" t="str">
        <x:v>US047</x:v>
      </x:c>
      <x:c r="E50" s="28" t="str">
        <x:v>US047-AC1..AC4</x:v>
      </x:c>
      <x:c r="F50" s="28" t="str">
        <x:v>BR-us047</x:v>
      </x:c>
      <x:c r="G50" s="28" t="str">
        <x:v>PR-us047</x:v>
      </x:c>
      <x:c r="H50" s="28" t="str">
        <x:v>TEST-us047</x:v>
      </x:c>
      <x:c r="I50" s="28" t="str">
        <x:v>Confluence Page TBD</x:v>
      </x:c>
      <x:c r="J50" s="28" t="str">
        <x:v>Mermaid Node TBD</x:v>
      </x:c>
      <x:c r="K50" s="28" t="str">
        <x:v>Planned</x:v>
      </x:c>
      <x:c r="L50" s="28" t="str">
        <x:v>Data Analyst</x:v>
      </x:c>
    </x:row>
    <x:row r="51">
      <x:c r="A51" s="28" t="str">
        <x:v>REQ-048</x:v>
      </x:c>
      <x:c r="B51" s="28" t="str">
        <x:v>S20</x:v>
      </x:c>
      <x:c r="C51" s="28" t="str">
        <x:v>E16</x:v>
      </x:c>
      <x:c r="D51" s="28" t="str">
        <x:v>US048</x:v>
      </x:c>
      <x:c r="E51" s="28" t="str">
        <x:v>US048-AC1..AC4</x:v>
      </x:c>
      <x:c r="F51" s="28" t="str">
        <x:v>BR-us048</x:v>
      </x:c>
      <x:c r="G51" s="28" t="str">
        <x:v>PR-us048</x:v>
      </x:c>
      <x:c r="H51" s="28" t="str">
        <x:v>TEST-us048</x:v>
      </x:c>
      <x:c r="I51" s="28" t="str">
        <x:v>Confluence Page TBD</x:v>
      </x:c>
      <x:c r="J51" s="28" t="str">
        <x:v>Mermaid Node TBD</x:v>
      </x:c>
      <x:c r="K51" s="28" t="str">
        <x:v>Planned</x:v>
      </x:c>
      <x:c r="L51" s="28" t="str">
        <x:v>Product Manager</x:v>
      </x:c>
    </x:row>
    <x:row r="52">
      <x:c r="A52" s="28" t="str">
        <x:v>REQ-049</x:v>
      </x:c>
      <x:c r="B52" s="28" t="str">
        <x:v>S17</x:v>
      </x:c>
      <x:c r="C52" s="28" t="str">
        <x:v>E17</x:v>
      </x:c>
      <x:c r="D52" s="28" t="str">
        <x:v>US049</x:v>
      </x:c>
      <x:c r="E52" s="28" t="str">
        <x:v>US049-AC1..AC4</x:v>
      </x:c>
      <x:c r="F52" s="28" t="str">
        <x:v>BR-us049</x:v>
      </x:c>
      <x:c r="G52" s="28" t="str">
        <x:v>PR-us049</x:v>
      </x:c>
      <x:c r="H52" s="28" t="str">
        <x:v>TEST-us049</x:v>
      </x:c>
      <x:c r="I52" s="28" t="str">
        <x:v>Confluence Page TBD</x:v>
      </x:c>
      <x:c r="J52" s="28" t="str">
        <x:v>Mermaid Node TBD</x:v>
      </x:c>
      <x:c r="K52" s="28" t="str">
        <x:v>Planned</x:v>
      </x:c>
      <x:c r="L52" s="28" t="str">
        <x:v>Sponsor</x:v>
      </x:c>
    </x:row>
    <x:row r="53">
      <x:c r="A53" s="28" t="str">
        <x:v>REQ-050</x:v>
      </x:c>
      <x:c r="B53" s="28" t="str">
        <x:v>S17</x:v>
      </x:c>
      <x:c r="C53" s="28" t="str">
        <x:v>E17</x:v>
      </x:c>
      <x:c r="D53" s="28" t="str">
        <x:v>US050</x:v>
      </x:c>
      <x:c r="E53" s="28" t="str">
        <x:v>US050-AC1..AC4</x:v>
      </x:c>
      <x:c r="F53" s="28" t="str">
        <x:v>BR-us050</x:v>
      </x:c>
      <x:c r="G53" s="28" t="str">
        <x:v>PR-us050</x:v>
      </x:c>
      <x:c r="H53" s="28" t="str">
        <x:v>TEST-us050</x:v>
      </x:c>
      <x:c r="I53" s="28" t="str">
        <x:v>Confluence Page TBD</x:v>
      </x:c>
      <x:c r="J53" s="28" t="str">
        <x:v>Mermaid Node TBD</x:v>
      </x:c>
      <x:c r="K53" s="28" t="str">
        <x:v>Planned</x:v>
      </x:c>
      <x:c r="L53" s="28" t="str">
        <x:v>PM</x:v>
      </x:c>
    </x:row>
    <x:row r="54">
      <x:c r="A54" s="28" t="str">
        <x:v>REQ-051</x:v>
      </x:c>
      <x:c r="B54" s="28" t="str">
        <x:v>S17</x:v>
      </x:c>
      <x:c r="C54" s="28" t="str">
        <x:v>E17</x:v>
      </x:c>
      <x:c r="D54" s="28" t="str">
        <x:v>US051</x:v>
      </x:c>
      <x:c r="E54" s="28" t="str">
        <x:v>US051-AC1..AC4</x:v>
      </x:c>
      <x:c r="F54" s="28" t="str">
        <x:v>BR-us051</x:v>
      </x:c>
      <x:c r="G54" s="28" t="str">
        <x:v>PR-us051</x:v>
      </x:c>
      <x:c r="H54" s="28" t="str">
        <x:v>TEST-us051</x:v>
      </x:c>
      <x:c r="I54" s="28" t="str">
        <x:v>Confluence Page TBD</x:v>
      </x:c>
      <x:c r="J54" s="28" t="str">
        <x:v>Mermaid Node TBD</x:v>
      </x:c>
      <x:c r="K54" s="28" t="str">
        <x:v>Planned</x:v>
      </x:c>
      <x:c r="L54" s="28" t="str">
        <x:v>Compliance</x:v>
      </x:c>
    </x:row>
    <x:row r="55">
      <x:c r="A55" s="28" t="str">
        <x:v>REQ-052</x:v>
      </x:c>
      <x:c r="B55" s="28" t="str">
        <x:v>S18</x:v>
      </x:c>
      <x:c r="C55" s="28" t="str">
        <x:v>E18</x:v>
      </x:c>
      <x:c r="D55" s="28" t="str">
        <x:v>US052</x:v>
      </x:c>
      <x:c r="E55" s="28" t="str">
        <x:v>US052-AC1..AC4</x:v>
      </x:c>
      <x:c r="F55" s="28" t="str">
        <x:v>BR-us052</x:v>
      </x:c>
      <x:c r="G55" s="28" t="str">
        <x:v>PR-us052</x:v>
      </x:c>
      <x:c r="H55" s="28" t="str">
        <x:v>TEST-us052</x:v>
      </x:c>
      <x:c r="I55" s="28" t="str">
        <x:v>Confluence Page TBD</x:v>
      </x:c>
      <x:c r="J55" s="28" t="str">
        <x:v>Mermaid Node TBD</x:v>
      </x:c>
      <x:c r="K55" s="28" t="str">
        <x:v>Planned</x:v>
      </x:c>
      <x:c r="L55" s="28" t="str">
        <x:v>Engineering Lead</x:v>
      </x:c>
    </x:row>
    <x:row r="56">
      <x:c r="A56" s="28" t="str">
        <x:v>REQ-053</x:v>
      </x:c>
      <x:c r="B56" s="28" t="str">
        <x:v>S18</x:v>
      </x:c>
      <x:c r="C56" s="28" t="str">
        <x:v>E18</x:v>
      </x:c>
      <x:c r="D56" s="28" t="str">
        <x:v>US053</x:v>
      </x:c>
      <x:c r="E56" s="28" t="str">
        <x:v>US053-AC1..AC4</x:v>
      </x:c>
      <x:c r="F56" s="28" t="str">
        <x:v>BR-us053</x:v>
      </x:c>
      <x:c r="G56" s="28" t="str">
        <x:v>PR-us053</x:v>
      </x:c>
      <x:c r="H56" s="28" t="str">
        <x:v>TEST-us053</x:v>
      </x:c>
      <x:c r="I56" s="28" t="str">
        <x:v>Confluence Page TBD</x:v>
      </x:c>
      <x:c r="J56" s="28" t="str">
        <x:v>Mermaid Node TBD</x:v>
      </x:c>
      <x:c r="K56" s="28" t="str">
        <x:v>Planned</x:v>
      </x:c>
      <x:c r="L56" s="28" t="str">
        <x:v>PM</x:v>
      </x:c>
    </x:row>
    <x:row r="57">
      <x:c r="A57" s="28" t="str">
        <x:v>REQ-054</x:v>
      </x:c>
      <x:c r="B57" s="28" t="str">
        <x:v>S21</x:v>
      </x:c>
      <x:c r="C57" s="28" t="str">
        <x:v>E18</x:v>
      </x:c>
      <x:c r="D57" s="28" t="str">
        <x:v>US054</x:v>
      </x:c>
      <x:c r="E57" s="28" t="str">
        <x:v>US054-AC1..AC4</x:v>
      </x:c>
      <x:c r="F57" s="28" t="str">
        <x:v>BR-us054</x:v>
      </x:c>
      <x:c r="G57" s="28" t="str">
        <x:v>PR-us054</x:v>
      </x:c>
      <x:c r="H57" s="28" t="str">
        <x:v>TEST-us054</x:v>
      </x:c>
      <x:c r="I57" s="28" t="str">
        <x:v>Confluence Page TBD</x:v>
      </x:c>
      <x:c r="J57" s="28" t="str">
        <x:v>Mermaid Node TBD</x:v>
      </x:c>
      <x:c r="K57" s="28" t="str">
        <x:v>Planned</x:v>
      </x:c>
      <x:c r="L57" s="28" t="str">
        <x:v>PMO</x:v>
      </x:c>
    </x:row>
    <x:row r="58">
      <x:c r="A58" s="28" t="str">
        <x:v>REQ-055</x:v>
      </x:c>
      <x:c r="B58" s="28" t="str">
        <x:v>S21</x:v>
      </x:c>
      <x:c r="C58" s="28" t="str">
        <x:v>E18</x:v>
      </x:c>
      <x:c r="D58" s="28" t="str">
        <x:v>US055</x:v>
      </x:c>
      <x:c r="E58" s="28" t="str">
        <x:v>US055-AC1..AC4</x:v>
      </x:c>
      <x:c r="F58" s="28" t="str">
        <x:v>BR-us055</x:v>
      </x:c>
      <x:c r="G58" s="28" t="str">
        <x:v>PR-us055</x:v>
      </x:c>
      <x:c r="H58" s="28" t="str">
        <x:v>TEST-us055</x:v>
      </x:c>
      <x:c r="I58" s="28" t="str">
        <x:v>Confluence Page TBD</x:v>
      </x:c>
      <x:c r="J58" s="28" t="str">
        <x:v>Mermaid Node TBD</x:v>
      </x:c>
      <x:c r="K58" s="28" t="str">
        <x:v>Planned</x:v>
      </x:c>
      <x:c r="L58" s="28" t="str">
        <x:v>Product Ops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50" hidden="0" customWidth="1"/>
    <x:col min="5" max="5" width="22" hidden="0" customWidth="1"/>
    <x:col min="6" max="6" width="14" hidden="0" customWidth="1"/>
    <x:col min="7" max="7" width="14" hidden="0" customWidth="1"/>
    <x:col min="8" max="8" width="42" hidden="0" customWidth="1"/>
    <x:col min="9" max="9" width="18" hidden="0" customWidth="1"/>
  </x:cols>
  <x:sheetData>
    <x:row r="1" ht="28" customHeight="1">
      <x:c r="A1" s="20" t="str">
        <x:v>Dependency Register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</x:row>
    <x:row r="3" ht="34" customHeight="1">
      <x:c r="A3" s="26" t="str">
        <x:v>Dependency ID</x:v>
      </x:c>
      <x:c r="B3" s="26" t="str">
        <x:v>Dependency</x:v>
      </x:c>
      <x:c r="C3" s="26" t="str">
        <x:v>Mapped Step</x:v>
      </x:c>
      <x:c r="D3" s="26" t="str">
        <x:v>Why It Matters</x:v>
      </x:c>
      <x:c r="E3" s="26" t="str">
        <x:v>Owner</x:v>
      </x:c>
      <x:c r="F3" s="26" t="str">
        <x:v>Criticality</x:v>
      </x:c>
      <x:c r="G3" s="26" t="str">
        <x:v>Status</x:v>
      </x:c>
      <x:c r="H3" s="26" t="str">
        <x:v>Mitigation / Next Action</x:v>
      </x:c>
      <x:c r="I3" s="26" t="str">
        <x:v>Linked Epics</x:v>
      </x:c>
    </x:row>
    <x:row r="4">
      <x:c r="A4" s="28" t="str">
        <x:v>D001</x:v>
      </x:c>
      <x:c r="B4" s="28" t="str">
        <x:v>Confluence API access</x:v>
      </x:c>
      <x:c r="C4" s="28" t="str">
        <x:v>S13</x:v>
      </x:c>
      <x:c r="D4" s="28" t="str">
        <x:v>Documentation sync cannot launch without workspace permissions</x:v>
      </x:c>
      <x:c r="E4" s="28" t="str">
        <x:v>Platform Admin</x:v>
      </x:c>
      <x:c r="F4" s="28" t="str">
        <x:v>High</x:v>
      </x:c>
      <x:c r="G4" s="28" t="str">
        <x:v>Not Started</x:v>
      </x:c>
      <x:c r="H4" s="28" t="str">
        <x:v>Set app credentials and page templates</x:v>
      </x:c>
      <x:c r="I4" s="28" t="str">
        <x:v>E08</x:v>
      </x:c>
    </x:row>
    <x:row r="5">
      <x:c r="A5" s="28" t="str">
        <x:v>D002</x:v>
      </x:c>
      <x:c r="B5" s="28" t="str">
        <x:v>Jira / Linear API access</x:v>
      </x:c>
      <x:c r="C5" s="28" t="str">
        <x:v>S08</x:v>
      </x:c>
      <x:c r="D5" s="28" t="str">
        <x:v>Backlog sync depends on project keys, fields and workflows</x:v>
      </x:c>
      <x:c r="E5" s="28" t="str">
        <x:v>Project Manager</x:v>
      </x:c>
      <x:c r="F5" s="28" t="str">
        <x:v>High</x:v>
      </x:c>
      <x:c r="G5" s="28" t="str">
        <x:v>Not Started</x:v>
      </x:c>
      <x:c r="H5" s="28" t="str">
        <x:v>Define fields, statuses and labels</x:v>
      </x:c>
      <x:c r="I5" s="28" t="str">
        <x:v>E09</x:v>
      </x:c>
    </x:row>
    <x:row r="6">
      <x:c r="A6" s="28" t="str">
        <x:v>D003</x:v>
      </x:c>
      <x:c r="B6" s="28" t="str">
        <x:v>GitHub / GitLab integration</x:v>
      </x:c>
      <x:c r="C6" s="28" t="str">
        <x:v>S09-S12</x:v>
      </x:c>
      <x:c r="D6" s="28" t="str">
        <x:v>Code traceability requires repository webhooks and branch conventions</x:v>
      </x:c>
      <x:c r="E6" s="28" t="str">
        <x:v>Engineering Lead</x:v>
      </x:c>
      <x:c r="F6" s="28" t="str">
        <x:v>High</x:v>
      </x:c>
      <x:c r="G6" s="28" t="str">
        <x:v>Not Started</x:v>
      </x:c>
      <x:c r="H6" s="28" t="str">
        <x:v>Define repo, branch naming and PR templates</x:v>
      </x:c>
      <x:c r="I6" s="28" t="str">
        <x:v>E10,E11</x:v>
      </x:c>
    </x:row>
    <x:row r="7">
      <x:c r="A7" s="28" t="str">
        <x:v>D004</x:v>
      </x:c>
      <x:c r="B7" s="28" t="str">
        <x:v>LLM provider and prompt governance</x:v>
      </x:c>
      <x:c r="C7" s="28" t="str">
        <x:v>S01-S21</x:v>
      </x:c>
      <x:c r="D7" s="28" t="str">
        <x:v>AI generation requires secure model access and prompt quality controls</x:v>
      </x:c>
      <x:c r="E7" s="28" t="str">
        <x:v>AI Lead</x:v>
      </x:c>
      <x:c r="F7" s="28" t="str">
        <x:v>High</x:v>
      </x:c>
      <x:c r="G7" s="28" t="str">
        <x:v>Not Started</x:v>
      </x:c>
      <x:c r="H7" s="28" t="str">
        <x:v>Choose provider, set policies, create evaluation suite</x:v>
      </x:c>
      <x:c r="I7" s="28" t="str">
        <x:v>E01-E18</x:v>
      </x:c>
    </x:row>
    <x:row r="8">
      <x:c r="A8" s="28" t="str">
        <x:v>D005</x:v>
      </x:c>
      <x:c r="B8" s="28" t="str">
        <x:v>Meeting transcription tool</x:v>
      </x:c>
      <x:c r="C8" s="28" t="str">
        <x:v>S16-S17</x:v>
      </x:c>
      <x:c r="D8" s="28" t="str">
        <x:v>Meeting intelligence requires transcripts or structured notes</x:v>
      </x:c>
      <x:c r="E8" s="28" t="str">
        <x:v>Scrum Master</x:v>
      </x:c>
      <x:c r="F8" s="28" t="str">
        <x:v>Medium</x:v>
      </x:c>
      <x:c r="G8" s="28" t="str">
        <x:v>Not Started</x:v>
      </x:c>
      <x:c r="H8" s="28" t="str">
        <x:v>Integrate Teams/Zoom/Google Meet notes</x:v>
      </x:c>
      <x:c r="I8" s="28" t="str">
        <x:v>E13</x:v>
      </x:c>
    </x:row>
    <x:row r="9">
      <x:c r="A9" s="28" t="str">
        <x:v>D006</x:v>
      </x:c>
      <x:c r="B9" s="28" t="str">
        <x:v>Role-based access model</x:v>
      </x:c>
      <x:c r="C9" s="28" t="str">
        <x:v>All</x:v>
      </x:c>
      <x:c r="D9" s="28" t="str">
        <x:v>Different users need separate permissions and audit controls</x:v>
      </x:c>
      <x:c r="E9" s="28" t="str">
        <x:v>Security Lead</x:v>
      </x:c>
      <x:c r="F9" s="28" t="str">
        <x:v>High</x:v>
      </x:c>
      <x:c r="G9" s="28" t="str">
        <x:v>Not Started</x:v>
      </x:c>
      <x:c r="H9" s="28" t="str">
        <x:v>Define roles: Founder, PM, BA, PMO, Engineer, Sponsor</x:v>
      </x:c>
      <x:c r="I9" s="28" t="str">
        <x:v>E17</x:v>
      </x:c>
    </x:row>
    <x:row r="10">
      <x:c r="A10" s="28" t="str">
        <x:v>D007</x:v>
      </x:c>
      <x:c r="B10" s="28" t="str">
        <x:v>Database schema</x:v>
      </x:c>
      <x:c r="C10" s="28" t="str">
        <x:v>All</x:v>
      </x:c>
      <x:c r="D10" s="28" t="str">
        <x:v>Traceability depends on stable IDs and relationships</x:v>
      </x:c>
      <x:c r="E10" s="28" t="str">
        <x:v>Backend Lead</x:v>
      </x:c>
      <x:c r="F10" s="28" t="str">
        <x:v>High</x:v>
      </x:c>
      <x:c r="G10" s="28" t="str">
        <x:v>Not Started</x:v>
      </x:c>
      <x:c r="H10" s="28" t="str">
        <x:v>Design objects and linking tables</x:v>
      </x:c>
      <x:c r="I10" s="28" t="str">
        <x:v>E12</x:v>
      </x:c>
    </x:row>
    <x:row r="11">
      <x:c r="A11" s="28" t="str">
        <x:v>D008</x:v>
      </x:c>
      <x:c r="B11" s="28" t="str">
        <x:v>Mermaid renderer</x:v>
      </x:c>
      <x:c r="C11" s="28" t="str">
        <x:v>S05,S14</x:v>
      </x:c>
      <x:c r="D11" s="28" t="str">
        <x:v>Diagram generation requires render and validation service</x:v>
      </x:c>
      <x:c r="E11" s="28" t="str">
        <x:v>Frontend Lead</x:v>
      </x:c>
      <x:c r="F11" s="28" t="str">
        <x:v>Medium</x:v>
      </x:c>
      <x:c r="G11" s="28" t="str">
        <x:v>Not Started</x:v>
      </x:c>
      <x:c r="H11" s="28" t="str">
        <x:v>Implement preview, error detection and version history</x:v>
      </x:c>
      <x:c r="I11" s="28" t="str">
        <x:v>E05</x:v>
      </x:c>
    </x:row>
    <x:row r="12">
      <x:c r="A12" s="28" t="str">
        <x:v>D009</x:v>
      </x:c>
      <x:c r="B12" s="28" t="str">
        <x:v>Analytics event taxonomy</x:v>
      </x:c>
      <x:c r="C12" s="28" t="str">
        <x:v>S19-S21</x:v>
      </x:c>
      <x:c r="D12" s="28" t="str">
        <x:v>Product metrics require consistent event naming and capture</x:v>
      </x:c>
      <x:c r="E12" s="28" t="str">
        <x:v>Data Analyst</x:v>
      </x:c>
      <x:c r="F12" s="28" t="str">
        <x:v>Medium</x:v>
      </x:c>
      <x:c r="G12" s="28" t="str">
        <x:v>Not Started</x:v>
      </x:c>
      <x:c r="H12" s="28" t="str">
        <x:v>Define events, properties and dashboards</x:v>
      </x:c>
      <x:c r="I12" s="28" t="str">
        <x:v>E16</x:v>
      </x:c>
    </x:row>
    <x:row r="13">
      <x:c r="A13" s="28" t="str">
        <x:v>D010</x:v>
      </x:c>
      <x:c r="B13" s="28" t="str">
        <x:v>Testing framework integration</x:v>
      </x:c>
      <x:c r="C13" s="28" t="str">
        <x:v>S11</x:v>
      </x:c>
      <x:c r="D13" s="28" t="str">
        <x:v>Validation needs test results from CI/CD or QA system</x:v>
      </x:c>
      <x:c r="E13" s="28" t="str">
        <x:v>QA Lead</x:v>
      </x:c>
      <x:c r="F13" s="28" t="str">
        <x:v>High</x:v>
      </x:c>
      <x:c r="G13" s="28" t="str">
        <x:v>Not Started</x:v>
      </x:c>
      <x:c r="H13" s="28" t="str">
        <x:v>Connect CI results and test management IDs</x:v>
      </x:c>
      <x:c r="I13" s="28" t="str">
        <x:v>E11</x:v>
      </x:c>
    </x:row>
  </x:sheetData>
  <x:dataValidations count="1">
    <x:dataValidation type="list" allowBlank="1" showDropDown="0" sqref="G4:G100">
      <x:formula1>"Not Started,In Progress,Blocked,Done"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22" hidden="0" customWidth="1"/>
    <x:col min="8" max="8" width="55" hidden="0" customWidth="1"/>
    <x:col min="9" max="9" width="12" hidden="0" customWidth="1"/>
    <x:col min="10" max="10" width="16" hidden="0" customWidth="1"/>
  </x:cols>
  <x:sheetData>
    <x:row r="1" ht="28" customHeight="1">
      <x:c r="A1" s="20" t="str">
        <x:v>RAID Log and Risk Register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</x:row>
    <x:row r="3" ht="34" customHeight="1">
      <x:c r="A3" s="26" t="str">
        <x:v>ID</x:v>
      </x:c>
      <x:c r="B3" s="26" t="str">
        <x:v>Description</x:v>
      </x:c>
      <x:c r="C3" s="26" t="str">
        <x:v>Type</x:v>
      </x:c>
      <x:c r="D3" s="26" t="str">
        <x:v>Impact</x:v>
      </x:c>
      <x:c r="E3" s="26" t="str">
        <x:v>Probability</x:v>
      </x:c>
      <x:c r="F3" s="26" t="str">
        <x:v>Severity</x:v>
      </x:c>
      <x:c r="G3" s="26" t="str">
        <x:v>Owner</x:v>
      </x:c>
      <x:c r="H3" s="26" t="str">
        <x:v>Mitigation / Response</x:v>
      </x:c>
      <x:c r="I3" s="26" t="str">
        <x:v>Status</x:v>
      </x:c>
      <x:c r="J3" s="26" t="str">
        <x:v>Mapped Step</x:v>
      </x:c>
    </x:row>
    <x:row r="4">
      <x:c r="A4" s="28" t="str">
        <x:v>R001</x:v>
      </x:c>
      <x:c r="B4" s="28" t="str">
        <x:v>Scope creep from too many automation ideas</x:v>
      </x:c>
      <x:c r="C4" s="28" t="str">
        <x:v>Risk</x:v>
      </x:c>
      <x:c r="D4" s="28" t="str">
        <x:v>High</x:v>
      </x:c>
      <x:c r="E4" s="28" t="str">
        <x:v>High</x:v>
      </x:c>
      <x:c r="F4" s="28" t="str">
        <x:v>Red</x:v>
      </x:c>
      <x:c r="G4" s="28" t="str">
        <x:v>Product Manager</x:v>
      </x:c>
      <x:c r="H4" s="28" t="str">
        <x:v>Use MVP phases and strict prioritisation</x:v>
      </x:c>
      <x:c r="I4" s="28" t="str">
        <x:v>Open</x:v>
      </x:c>
      <x:c r="J4" s="28" t="str">
        <x:v>S04-S06</x:v>
      </x:c>
    </x:row>
    <x:row r="5">
      <x:c r="A5" s="28" t="str">
        <x:v>R002</x:v>
      </x:c>
      <x:c r="B5" s="28" t="str">
        <x:v>AI-generated requirements may be inaccurate</x:v>
      </x:c>
      <x:c r="C5" s="28" t="str">
        <x:v>Risk</x:v>
      </x:c>
      <x:c r="D5" s="28" t="str">
        <x:v>High</x:v>
      </x:c>
      <x:c r="E5" s="28" t="str">
        <x:v>Medium</x:v>
      </x:c>
      <x:c r="F5" s="28" t="str">
        <x:v>Amber</x:v>
      </x:c>
      <x:c r="G5" s="28" t="str">
        <x:v>BA Lead</x:v>
      </x:c>
      <x:c r="H5" s="28" t="str">
        <x:v>Human approval, templates, quality scoring</x:v>
      </x:c>
      <x:c r="I5" s="28" t="str">
        <x:v>Open</x:v>
      </x:c>
      <x:c r="J5" s="28" t="str">
        <x:v>S05-S07</x:v>
      </x:c>
    </x:row>
    <x:row r="6">
      <x:c r="A6" s="28" t="str">
        <x:v>R003</x:v>
      </x:c>
      <x:c r="B6" s="28" t="str">
        <x:v>Integrations delay delivery</x:v>
      </x:c>
      <x:c r="C6" s="28" t="str">
        <x:v>Risk</x:v>
      </x:c>
      <x:c r="D6" s="28" t="str">
        <x:v>High</x:v>
      </x:c>
      <x:c r="E6" s="28" t="str">
        <x:v>High</x:v>
      </x:c>
      <x:c r="F6" s="28" t="str">
        <x:v>Red</x:v>
      </x:c>
      <x:c r="G6" s="28" t="str">
        <x:v>Engineering Lead</x:v>
      </x:c>
      <x:c r="H6" s="28" t="str">
        <x:v>Start with manual import/export, then APIs</x:v>
      </x:c>
      <x:c r="I6" s="28" t="str">
        <x:v>Open</x:v>
      </x:c>
      <x:c r="J6" s="28" t="str">
        <x:v>S08-S13</x:v>
      </x:c>
    </x:row>
    <x:row r="7">
      <x:c r="A7" s="28" t="str">
        <x:v>R004</x:v>
      </x:c>
      <x:c r="B7" s="28" t="str">
        <x:v>Code-to-requirement validation is technically complex</x:v>
      </x:c>
      <x:c r="C7" s="28" t="str">
        <x:v>Risk</x:v>
      </x:c>
      <x:c r="D7" s="28" t="str">
        <x:v>High</x:v>
      </x:c>
      <x:c r="E7" s="28" t="str">
        <x:v>Medium</x:v>
      </x:c>
      <x:c r="F7" s="28" t="str">
        <x:v>Amber</x:v>
      </x:c>
      <x:c r="G7" s="28" t="str">
        <x:v>Engineering Lead</x:v>
      </x:c>
      <x:c r="H7" s="28" t="str">
        <x:v>Start with branch/PR/story mapping before semantic code validation</x:v>
      </x:c>
      <x:c r="I7" s="28" t="str">
        <x:v>Open</x:v>
      </x:c>
      <x:c r="J7" s="28" t="str">
        <x:v>S11-S12</x:v>
      </x:c>
    </x:row>
    <x:row r="8">
      <x:c r="A8" s="28" t="str">
        <x:v>R005</x:v>
      </x:c>
      <x:c r="B8" s="28" t="str">
        <x:v>Stakeholders may not trust AI-generated reports</x:v>
      </x:c>
      <x:c r="C8" s="28" t="str">
        <x:v>Risk</x:v>
      </x:c>
      <x:c r="D8" s="28" t="str">
        <x:v>Medium</x:v>
      </x:c>
      <x:c r="E8" s="28" t="str">
        <x:v>Medium</x:v>
      </x:c>
      <x:c r="F8" s="28" t="str">
        <x:v>Amber</x:v>
      </x:c>
      <x:c r="G8" s="28" t="str">
        <x:v>Project Manager</x:v>
      </x:c>
      <x:c r="H8" s="28" t="str">
        <x:v>Include evidence links and human review workflow</x:v>
      </x:c>
      <x:c r="I8" s="28" t="str">
        <x:v>Open</x:v>
      </x:c>
      <x:c r="J8" s="28" t="str">
        <x:v>S16-S17</x:v>
      </x:c>
    </x:row>
    <x:row r="9">
      <x:c r="A9" s="28" t="str">
        <x:v>R006</x:v>
      </x:c>
      <x:c r="B9" s="28" t="str">
        <x:v>Security and privacy concerns for meeting transcripts</x:v>
      </x:c>
      <x:c r="C9" s="28" t="str">
        <x:v>Risk</x:v>
      </x:c>
      <x:c r="D9" s="28" t="str">
        <x:v>High</x:v>
      </x:c>
      <x:c r="E9" s="28" t="str">
        <x:v>Medium</x:v>
      </x:c>
      <x:c r="F9" s="28" t="str">
        <x:v>Amber</x:v>
      </x:c>
      <x:c r="G9" s="28" t="str">
        <x:v>Security Lead</x:v>
      </x:c>
      <x:c r="H9" s="28" t="str">
        <x:v>RBAC, encryption, retention controls, redaction</x:v>
      </x:c>
      <x:c r="I9" s="28" t="str">
        <x:v>Open</x:v>
      </x:c>
      <x:c r="J9" s="28" t="str">
        <x:v>S16</x:v>
      </x:c>
    </x:row>
    <x:row r="10">
      <x:c r="A10" s="28" t="str">
        <x:v>R007</x:v>
      </x:c>
      <x:c r="B10" s="28" t="str">
        <x:v>Inconsistent Jira workflows across customers</x:v>
      </x:c>
      <x:c r="C10" s="28" t="str">
        <x:v>Issue</x:v>
      </x:c>
      <x:c r="D10" s="28" t="str">
        <x:v>Medium</x:v>
      </x:c>
      <x:c r="E10" s="28" t="str">
        <x:v>High</x:v>
      </x:c>
      <x:c r="F10" s="28" t="str">
        <x:v>Amber</x:v>
      </x:c>
      <x:c r="G10" s="28" t="str">
        <x:v>Product Ops</x:v>
      </x:c>
      <x:c r="H10" s="28" t="str">
        <x:v>Configurable field mapping and templates</x:v>
      </x:c>
      <x:c r="I10" s="28" t="str">
        <x:v>Open</x:v>
      </x:c>
      <x:c r="J10" s="28" t="str">
        <x:v>S08</x:v>
      </x:c>
    </x:row>
    <x:row r="11">
      <x:c r="A11" s="28" t="str">
        <x:v>R008</x:v>
      </x:c>
      <x:c r="B11" s="28" t="str">
        <x:v>Engineering team may resist IDE automation</x:v>
      </x:c>
      <x:c r="C11" s="28" t="str">
        <x:v>Risk</x:v>
      </x:c>
      <x:c r="D11" s="28" t="str">
        <x:v>Medium</x:v>
      </x:c>
      <x:c r="E11" s="28" t="str">
        <x:v>Medium</x:v>
      </x:c>
      <x:c r="F11" s="28" t="str">
        <x:v>Amber</x:v>
      </x:c>
      <x:c r="G11" s="28" t="str">
        <x:v>Engineering Lead</x:v>
      </x:c>
      <x:c r="H11" s="28" t="str">
        <x:v>Make IDE sync optional and useful, not restrictive</x:v>
      </x:c>
      <x:c r="I11" s="28" t="str">
        <x:v>Open</x:v>
      </x:c>
      <x:c r="J11" s="28" t="str">
        <x:v>S09</x:v>
      </x:c>
    </x:row>
    <x:row r="12">
      <x:c r="A12" s="28" t="str">
        <x:v>R009</x:v>
      </x:c>
      <x:c r="B12" s="28" t="str">
        <x:v>Dashboard metrics may encourage vanity reporting</x:v>
      </x:c>
      <x:c r="C12" s="28" t="str">
        <x:v>Risk</x:v>
      </x:c>
      <x:c r="D12" s="28" t="str">
        <x:v>Medium</x:v>
      </x:c>
      <x:c r="E12" s="28" t="str">
        <x:v>Medium</x:v>
      </x:c>
      <x:c r="F12" s="28" t="str">
        <x:v>Amber</x:v>
      </x:c>
      <x:c r="G12" s="28" t="str">
        <x:v>Product Manager</x:v>
      </x:c>
      <x:c r="H12" s="28" t="str">
        <x:v>Tie metrics to business value and validation evidence</x:v>
      </x:c>
      <x:c r="I12" s="28" t="str">
        <x:v>Open</x:v>
      </x:c>
      <x:c r="J12" s="28" t="str">
        <x:v>S15-S16</x:v>
      </x:c>
    </x:row>
    <x:row r="13">
      <x:c r="A13" s="28" t="str">
        <x:v>R010</x:v>
      </x:c>
      <x:c r="B13" s="28" t="str">
        <x:v>Cost grows with multi-agent model calls</x:v>
      </x:c>
      <x:c r="C13" s="28" t="str">
        <x:v>Risk</x:v>
      </x:c>
      <x:c r="D13" s="28" t="str">
        <x:v>Medium</x:v>
      </x:c>
      <x:c r="E13" s="28" t="str">
        <x:v>High</x:v>
      </x:c>
      <x:c r="F13" s="28" t="str">
        <x:v>Amber</x:v>
      </x:c>
      <x:c r="G13" s="28" t="str">
        <x:v>AI Lead</x:v>
      </x:c>
      <x:c r="H13" s="28" t="str">
        <x:v>Use routing, caching and batch processing</x:v>
      </x:c>
      <x:c r="I13" s="28" t="str">
        <x:v>Open</x:v>
      </x:c>
      <x:c r="J13" s="28" t="str">
        <x:v>All</x:v>
      </x:c>
    </x:row>
    <x:row r="14">
      <x:c r="A14" s="28" t="str">
        <x:v>A001</x:v>
      </x:c>
      <x:c r="B14" s="28" t="str">
        <x:v>Assumption: users already use Jira/Confluence/GitHub</x:v>
      </x:c>
      <x:c r="C14" s="28" t="str">
        <x:v>Assumption</x:v>
      </x:c>
      <x:c r="D14" s="28" t="str">
        <x:v>Medium</x:v>
      </x:c>
      <x:c r="E14" s="28" t="str">
        <x:v>Medium</x:v>
      </x:c>
      <x:c r="F14" s="28" t="str">
        <x:v>Yellow</x:v>
      </x:c>
      <x:c r="G14" s="28" t="str">
        <x:v>Founder</x:v>
      </x:c>
      <x:c r="H14" s="28" t="str">
        <x:v>Validate with target customers</x:v>
      </x:c>
      <x:c r="I14" s="28" t="str">
        <x:v>Open</x:v>
      </x:c>
      <x:c r="J14" s="28" t="str">
        <x:v>MVP</x:v>
      </x:c>
    </x:row>
    <x:row r="15">
      <x:c r="A15" s="28" t="str">
        <x:v>A002</x:v>
      </x:c>
      <x:c r="B15" s="28" t="str">
        <x:v>Assumption: teams value traceability enough to pay</x:v>
      </x:c>
      <x:c r="C15" s="28" t="str">
        <x:v>Assumption</x:v>
      </x:c>
      <x:c r="D15" s="28" t="str">
        <x:v>High</x:v>
      </x:c>
      <x:c r="E15" s="28" t="str">
        <x:v>Medium</x:v>
      </x:c>
      <x:c r="F15" s="28" t="str">
        <x:v>Amber</x:v>
      </x:c>
      <x:c r="G15" s="28" t="str">
        <x:v>Founder</x:v>
      </x:c>
      <x:c r="H15" s="28" t="str">
        <x:v>Interview PMOs and regulated product teams</x:v>
      </x:c>
      <x:c r="I15" s="28" t="str">
        <x:v>Open</x:v>
      </x:c>
      <x:c r="J15" s="28" t="str">
        <x:v>MVP</x:v>
      </x:c>
    </x:row>
  </x:sheetData>
  <x:dataValidations count="2">
    <x:dataValidation type="list" allowBlank="1" showDropDown="0" sqref="C4:C200">
      <x:formula1>"Risk,Assumption,Issue,Dependency"</x:formula1>
    </x:dataValidation>
    <x:dataValidation type="list" allowBlank="1" showDropDown="0" sqref="F4:F200">
      <x:formula1>"Green,Yellow,Amber,Red"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55" hidden="0" customWidth="1"/>
    <x:col min="5" max="5" width="12" hidden="0" customWidth="1"/>
    <x:col min="6" max="6" width="14" hidden="0" customWidth="1"/>
    <x:col min="7" max="7" width="10" hidden="0" customWidth="1"/>
    <x:col min="8" max="8" width="16" hidden="0" customWidth="1"/>
    <x:col min="9" max="9" width="14" hidden="0" customWidth="1"/>
  </x:cols>
  <x:sheetData>
    <x:row r="1" ht="28" customHeight="1">
      <x:c r="A1" s="20" t="str">
        <x:v>Cost and Resource Planning Sheet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</x:row>
    <x:row r="3" ht="34" customHeight="1">
      <x:c r="A3" s="26" t="str">
        <x:v>Resource / Role</x:v>
      </x:c>
      <x:c r="B3" s="26" t="str">
        <x:v>Allocation</x:v>
      </x:c>
      <x:c r="C3" s="26" t="str">
        <x:v>Phase</x:v>
      </x:c>
      <x:c r="D3" s="26" t="str">
        <x:v>Responsibility</x:v>
      </x:c>
      <x:c r="E3" s="26" t="str">
        <x:v>Rate £/hr</x:v>
      </x:c>
      <x:c r="F3" s="26" t="str">
        <x:v>Hours / Week</x:v>
      </x:c>
      <x:c r="G3" s="26" t="str">
        <x:v>Weeks</x:v>
      </x:c>
      <x:c r="H3" s="26" t="str">
        <x:v>Estimated Cost £</x:v>
      </x:c>
      <x:c r="I3" s="26" t="str">
        <x:v>Importance</x:v>
      </x:c>
    </x:row>
    <x:row r="4">
      <x:c r="A4" s="28" t="str">
        <x:v>Founder / Product Lead</x:v>
      </x:c>
      <x:c r="B4" s="28" t="str">
        <x:v>0.5 FTE</x:v>
      </x:c>
      <x:c r="C4" s="28" t="str">
        <x:v>MVP 1-4</x:v>
      </x:c>
      <x:c r="D4" s="28" t="str">
        <x:v>Product vision, validation, pricing, customer discovery</x:v>
      </x:c>
      <x:c r="E4" s="30" t="n">
        <x:v>80</x:v>
      </x:c>
      <x:c r="F4" s="30" t="n">
        <x:v>20</x:v>
      </x:c>
      <x:c r="G4" s="30" t="n">
        <x:v>16</x:v>
      </x:c>
      <x:c r="H4" s="30" t="n">
        <x:f>E4*F4*G4</x:f>
        <x:v>25600</x:v>
      </x:c>
      <x:c r="I4" s="41" t="str">
        <x:v>High</x:v>
      </x:c>
    </x:row>
    <x:row r="5">
      <x:c r="A5" s="28" t="str">
        <x:v>Product Manager</x:v>
      </x:c>
      <x:c r="B5" s="28" t="str">
        <x:v>1 FTE</x:v>
      </x:c>
      <x:c r="C5" s="28" t="str">
        <x:v>MVP 1-4</x:v>
      </x:c>
      <x:c r="D5" s="28" t="str">
        <x:v>PRD, roadmap, prioritisation, stakeholder alignment</x:v>
      </x:c>
      <x:c r="E5" s="30" t="n">
        <x:v>70</x:v>
      </x:c>
      <x:c r="F5" s="30" t="n">
        <x:v>40</x:v>
      </x:c>
      <x:c r="G5" s="30" t="n">
        <x:v>16</x:v>
      </x:c>
      <x:c r="H5" s="30" t="n">
        <x:f>E5*F5*G5</x:f>
        <x:v>44800</x:v>
      </x:c>
      <x:c r="I5" s="41" t="str">
        <x:v>Critical</x:v>
      </x:c>
    </x:row>
    <x:row r="6">
      <x:c r="A6" s="28" t="str">
        <x:v>Business Analyst</x:v>
      </x:c>
      <x:c r="B6" s="28" t="str">
        <x:v>1 FTE</x:v>
      </x:c>
      <x:c r="C6" s="28" t="str">
        <x:v>MVP 1-3</x:v>
      </x:c>
      <x:c r="D6" s="28" t="str">
        <x:v>BRD/FRD, user stories, acceptance criteria, traceability</x:v>
      </x:c>
      <x:c r="E6" s="30" t="n">
        <x:v>60</x:v>
      </x:c>
      <x:c r="F6" s="30" t="n">
        <x:v>36</x:v>
      </x:c>
      <x:c r="G6" s="30" t="n">
        <x:v>16</x:v>
      </x:c>
      <x:c r="H6" s="30" t="n">
        <x:f>E6*F6*G6</x:f>
        <x:v>34560</x:v>
      </x:c>
      <x:c r="I6" s="41" t="str">
        <x:v>Critical</x:v>
      </x:c>
    </x:row>
    <x:row r="7">
      <x:c r="A7" s="28" t="str">
        <x:v>Project Manager / Scrum Master</x:v>
      </x:c>
      <x:c r="B7" s="28" t="str">
        <x:v>0.75 FTE</x:v>
      </x:c>
      <x:c r="C7" s="28" t="str">
        <x:v>MVP 2-4</x:v>
      </x:c>
      <x:c r="D7" s="28" t="str">
        <x:v>Delivery plan, RAID, reporting, ceremonies</x:v>
      </x:c>
      <x:c r="E7" s="30" t="n">
        <x:v>60</x:v>
      </x:c>
      <x:c r="F7" s="30" t="n">
        <x:v>30</x:v>
      </x:c>
      <x:c r="G7" s="30" t="n">
        <x:v>16</x:v>
      </x:c>
      <x:c r="H7" s="30" t="n">
        <x:f>E7*F7*G7</x:f>
        <x:v>28800</x:v>
      </x:c>
      <x:c r="I7" s="41" t="str">
        <x:v>High</x:v>
      </x:c>
    </x:row>
    <x:row r="8">
      <x:c r="A8" s="28" t="str">
        <x:v>Solution Architect</x:v>
      </x:c>
      <x:c r="B8" s="28" t="str">
        <x:v>0.5 FTE</x:v>
      </x:c>
      <x:c r="C8" s="28" t="str">
        <x:v>MVP 1-3</x:v>
      </x:c>
      <x:c r="D8" s="28" t="str">
        <x:v>Architecture, diagrams, integration design</x:v>
      </x:c>
      <x:c r="E8" s="30" t="n">
        <x:v>85</x:v>
      </x:c>
      <x:c r="F8" s="30" t="n">
        <x:v>20</x:v>
      </x:c>
      <x:c r="G8" s="30" t="n">
        <x:v>12</x:v>
      </x:c>
      <x:c r="H8" s="30" t="n">
        <x:f>E8*F8*G8</x:f>
        <x:v>20400</x:v>
      </x:c>
      <x:c r="I8" s="41" t="str">
        <x:v>High</x:v>
      </x:c>
    </x:row>
    <x:row r="9">
      <x:c r="A9" s="28" t="str">
        <x:v>Frontend Engineer</x:v>
      </x:c>
      <x:c r="B9" s="28" t="str">
        <x:v>1 FTE</x:v>
      </x:c>
      <x:c r="C9" s="28" t="str">
        <x:v>MVP 1-4</x:v>
      </x:c>
      <x:c r="D9" s="28" t="str">
        <x:v>Workspace UI, dashboards, Mermaid preview</x:v>
      </x:c>
      <x:c r="E9" s="30" t="n">
        <x:v>65</x:v>
      </x:c>
      <x:c r="F9" s="30" t="n">
        <x:v>40</x:v>
      </x:c>
      <x:c r="G9" s="30" t="n">
        <x:v>16</x:v>
      </x:c>
      <x:c r="H9" s="30" t="n">
        <x:f>E9*F9*G9</x:f>
        <x:v>41600</x:v>
      </x:c>
      <x:c r="I9" s="41" t="str">
        <x:v>Critical</x:v>
      </x:c>
    </x:row>
    <x:row r="10">
      <x:c r="A10" s="28" t="str">
        <x:v>Backend Engineer</x:v>
      </x:c>
      <x:c r="B10" s="28" t="str">
        <x:v>1 FTE</x:v>
      </x:c>
      <x:c r="C10" s="28" t="str">
        <x:v>MVP 1-4</x:v>
      </x:c>
      <x:c r="D10" s="28" t="str">
        <x:v>APIs, database, traceability engine, integrations</x:v>
      </x:c>
      <x:c r="E10" s="30" t="n">
        <x:v>70</x:v>
      </x:c>
      <x:c r="F10" s="30" t="n">
        <x:v>40</x:v>
      </x:c>
      <x:c r="G10" s="30" t="n">
        <x:v>16</x:v>
      </x:c>
      <x:c r="H10" s="30" t="n">
        <x:f>E10*F10*G10</x:f>
        <x:v>44800</x:v>
      </x:c>
      <x:c r="I10" s="41" t="str">
        <x:v>Critical</x:v>
      </x:c>
    </x:row>
    <x:row r="11">
      <x:c r="A11" s="28" t="str">
        <x:v>AI Engineer</x:v>
      </x:c>
      <x:c r="B11" s="28" t="str">
        <x:v>0.75 FTE</x:v>
      </x:c>
      <x:c r="C11" s="28" t="str">
        <x:v>MVP 1-4</x:v>
      </x:c>
      <x:c r="D11" s="28" t="str">
        <x:v>Prompt orchestration, LLM workflows, evaluation</x:v>
      </x:c>
      <x:c r="E11" s="30" t="n">
        <x:v>85</x:v>
      </x:c>
      <x:c r="F11" s="30" t="n">
        <x:v>30</x:v>
      </x:c>
      <x:c r="G11" s="30" t="n">
        <x:v>16</x:v>
      </x:c>
      <x:c r="H11" s="30" t="n">
        <x:f>E11*F11*G11</x:f>
        <x:v>40800</x:v>
      </x:c>
      <x:c r="I11" s="41" t="str">
        <x:v>Critical</x:v>
      </x:c>
    </x:row>
    <x:row r="12">
      <x:c r="A12" s="28" t="str">
        <x:v>QA Engineer</x:v>
      </x:c>
      <x:c r="B12" s="28" t="str">
        <x:v>0.5 FTE</x:v>
      </x:c>
      <x:c r="C12" s="28" t="str">
        <x:v>MVP 2-4</x:v>
      </x:c>
      <x:c r="D12" s="28" t="str">
        <x:v>Test planning, validation, regression suite</x:v>
      </x:c>
      <x:c r="E12" s="30" t="n">
        <x:v>55</x:v>
      </x:c>
      <x:c r="F12" s="30" t="n">
        <x:v>20</x:v>
      </x:c>
      <x:c r="G12" s="30" t="n">
        <x:v>12</x:v>
      </x:c>
      <x:c r="H12" s="30" t="n">
        <x:f>E12*F12*G12</x:f>
        <x:v>13200</x:v>
      </x:c>
      <x:c r="I12" s="41" t="str">
        <x:v>High</x:v>
      </x:c>
    </x:row>
    <x:row r="13">
      <x:c r="A13" s="28" t="str">
        <x:v>UX/UI Designer</x:v>
      </x:c>
      <x:c r="B13" s="28" t="str">
        <x:v>0.5 FTE</x:v>
      </x:c>
      <x:c r="C13" s="28" t="str">
        <x:v>MVP 1-2</x:v>
      </x:c>
      <x:c r="D13" s="28" t="str">
        <x:v>User flows, dashboard design, design system</x:v>
      </x:c>
      <x:c r="E13" s="30" t="n">
        <x:v>55</x:v>
      </x:c>
      <x:c r="F13" s="30" t="n">
        <x:v>20</x:v>
      </x:c>
      <x:c r="G13" s="30" t="n">
        <x:v>8</x:v>
      </x:c>
      <x:c r="H13" s="30" t="n">
        <x:f>E13*F13*G13</x:f>
        <x:v>8800</x:v>
      </x:c>
      <x:c r="I13" s="41" t="str">
        <x:v>Medium</x:v>
      </x:c>
    </x:row>
    <x:row r="14">
      <x:c r="A14" s="28" t="str">
        <x:v>DevOps / Security</x:v>
      </x:c>
      <x:c r="B14" s="28" t="str">
        <x:v>0.25 FTE</x:v>
      </x:c>
      <x:c r="C14" s="28" t="str">
        <x:v>MVP 2-4</x:v>
      </x:c>
      <x:c r="D14" s="28" t="str">
        <x:v>Auth, deployment, monitoring, security controls</x:v>
      </x:c>
      <x:c r="E14" s="30" t="n">
        <x:v>80</x:v>
      </x:c>
      <x:c r="F14" s="30" t="n">
        <x:v>10</x:v>
      </x:c>
      <x:c r="G14" s="30" t="n">
        <x:v>12</x:v>
      </x:c>
      <x:c r="H14" s="30" t="n">
        <x:f>E14*F14*G14</x:f>
        <x:v>9600</x:v>
      </x:c>
      <x:c r="I14" s="41" t="str">
        <x:v>High</x:v>
      </x:c>
    </x:row>
    <x:row r="15">
      <x:c r="A15" s="28" t="str">
        <x:v>Tooling and LLM costs</x:v>
      </x:c>
      <x:c r="B15" s="28" t="str">
        <x:v>Monthly</x:v>
      </x:c>
      <x:c r="C15" s="28" t="str">
        <x:v>MVP 1-4</x:v>
      </x:c>
      <x:c r="D15" s="28" t="str">
        <x:v>LLM, hosting, database, APIs, monitoring</x:v>
      </x:c>
      <x:c r="E15" s="30" t="n">
        <x:v>0</x:v>
      </x:c>
      <x:c r="F15" s="30" t="n">
        <x:v>0</x:v>
      </x:c>
      <x:c r="G15" s="30" t="n">
        <x:v>4</x:v>
      </x:c>
      <x:c r="H15" s="30" t="n">
        <x:v>6000</x:v>
      </x:c>
      <x:c r="I15" s="41" t="str">
        <x:v>High</x:v>
      </x:c>
    </x:row>
    <x:row r="16">
      <x:c r="E16" s="31"/>
      <x:c r="F16" s="31"/>
      <x:c r="G16" s="31"/>
      <x:c r="H16" s="31"/>
      <x:c r="I16" s="31"/>
    </x:row>
    <x:row r="17">
      <x:c r="E17" s="31"/>
      <x:c r="F17" s="31"/>
      <x:c r="G17" s="31"/>
      <x:c r="H17" s="31"/>
      <x:c r="I17" s="31"/>
    </x:row>
    <x:row r="18">
      <x:c r="E18" s="31"/>
      <x:c r="F18" s="31"/>
      <x:c r="G18" s="31"/>
      <x:c r="H18" s="31"/>
      <x:c r="I18" s="31"/>
    </x:row>
    <x:row r="19">
      <x:c r="E19" s="31"/>
      <x:c r="F19" s="31"/>
      <x:c r="G19" s="31"/>
      <x:c r="H19" s="31"/>
      <x:c r="I19" s="31"/>
    </x:row>
    <x:row r="20">
      <x:c r="E20" s="31"/>
      <x:c r="F20" s="31"/>
      <x:c r="G20" s="31"/>
      <x:c r="H20" s="31"/>
      <x:c r="I20" s="31"/>
    </x:row>
    <x:row r="21">
      <x:c r="E21" s="31"/>
      <x:c r="F21" s="31"/>
      <x:c r="G21" s="31"/>
      <x:c r="H21" s="31"/>
      <x:c r="I21" s="31"/>
    </x:row>
    <x:row r="22">
      <x:c r="E22" s="31"/>
      <x:c r="F22" s="31"/>
      <x:c r="G22" s="31"/>
      <x:c r="H22" s="31"/>
      <x:c r="I22" s="31"/>
    </x:row>
    <x:row r="23">
      <x:c r="E23" s="31"/>
      <x:c r="F23" s="31"/>
      <x:c r="G23" s="31"/>
      <x:c r="H23" s="31"/>
      <x:c r="I23" s="31"/>
    </x:row>
    <x:row r="24">
      <x:c r="E24" s="31"/>
      <x:c r="F24" s="31"/>
      <x:c r="G24" s="31"/>
      <x:c r="H24" s="31"/>
      <x:c r="I24" s="31"/>
    </x:row>
    <x:row r="25">
      <x:c r="E25" s="31"/>
      <x:c r="F25" s="31"/>
      <x:c r="G25" s="31"/>
      <x:c r="H25" s="31"/>
      <x:c r="I25" s="31"/>
    </x:row>
    <x:row r="26">
      <x:c r="E26" s="31"/>
      <x:c r="F26" s="31"/>
      <x:c r="G26" s="31"/>
      <x:c r="H26" s="31"/>
      <x:c r="I26" s="31"/>
    </x:row>
    <x:row r="27">
      <x:c r="E27" s="31"/>
      <x:c r="F27" s="31"/>
      <x:c r="G27" s="31"/>
      <x:c r="H27" s="31"/>
      <x:c r="I27" s="31"/>
    </x:row>
    <x:row r="28">
      <x:c r="E28" s="31"/>
      <x:c r="F28" s="31"/>
      <x:c r="G28" s="31"/>
      <x:c r="H28" s="31"/>
      <x:c r="I28" s="31"/>
    </x:row>
    <x:row r="29">
      <x:c r="E29" s="31"/>
      <x:c r="F29" s="31"/>
      <x:c r="G29" s="31"/>
      <x:c r="H29" s="31"/>
      <x:c r="I29" s="31"/>
    </x:row>
    <x:row r="30">
      <x:c r="E30" s="31"/>
      <x:c r="F30" s="31"/>
      <x:c r="G30" s="31"/>
      <x:c r="H30" s="31"/>
      <x:c r="I30" s="31"/>
    </x:row>
    <x:row r="31">
      <x:c r="E31" s="31"/>
      <x:c r="F31" s="31"/>
      <x:c r="G31" s="31"/>
      <x:c r="H31" s="31"/>
      <x:c r="I31" s="31"/>
    </x:row>
    <x:row r="32">
      <x:c r="E32" s="31"/>
      <x:c r="F32" s="31"/>
      <x:c r="G32" s="31"/>
      <x:c r="H32" s="31"/>
      <x:c r="I32" s="31"/>
    </x:row>
    <x:row r="33">
      <x:c r="E33" s="31"/>
      <x:c r="F33" s="31"/>
      <x:c r="G33" s="31"/>
      <x:c r="H33" s="31"/>
      <x:c r="I33" s="31"/>
    </x:row>
    <x:row r="34">
      <x:c r="E34" s="31"/>
      <x:c r="F34" s="31"/>
      <x:c r="G34" s="31"/>
      <x:c r="H34" s="31"/>
      <x:c r="I34" s="31"/>
    </x:row>
    <x:row r="35">
      <x:c r="E35" s="31"/>
      <x:c r="F35" s="31"/>
      <x:c r="G35" s="31"/>
      <x:c r="H35" s="31"/>
      <x:c r="I35" s="31"/>
    </x:row>
    <x:row r="36">
      <x:c r="E36" s="31"/>
      <x:c r="F36" s="31"/>
      <x:c r="G36" s="31"/>
      <x:c r="H36" s="31"/>
      <x:c r="I36" s="31"/>
    </x:row>
    <x:row r="37">
      <x:c r="E37" s="31"/>
      <x:c r="F37" s="31"/>
      <x:c r="G37" s="31"/>
      <x:c r="H37" s="31"/>
      <x:c r="I37" s="31"/>
    </x:row>
    <x:row r="38">
      <x:c r="E38" s="31"/>
      <x:c r="F38" s="31"/>
      <x:c r="G38" s="31"/>
      <x:c r="H38" s="31"/>
      <x:c r="I38" s="31"/>
    </x:row>
    <x:row r="39">
      <x:c r="E39" s="31"/>
      <x:c r="F39" s="31"/>
      <x:c r="G39" s="31"/>
      <x:c r="H39" s="31"/>
      <x:c r="I39" s="31"/>
    </x:row>
    <x:row r="40">
      <x:c r="E40" s="31"/>
      <x:c r="F40" s="31"/>
      <x:c r="G40" s="31"/>
      <x:c r="H40" s="31"/>
      <x:c r="I40" s="31"/>
    </x:row>
    <x:row r="41">
      <x:c r="E41" s="31"/>
      <x:c r="F41" s="31"/>
      <x:c r="G41" s="31"/>
      <x:c r="H41" s="31"/>
      <x:c r="I41" s="31"/>
    </x:row>
    <x:row r="42">
      <x:c r="E42" s="31"/>
      <x:c r="F42" s="31"/>
      <x:c r="G42" s="31"/>
      <x:c r="H42" s="31"/>
      <x:c r="I42" s="31"/>
    </x:row>
    <x:row r="43">
      <x:c r="E43" s="31"/>
      <x:c r="F43" s="31"/>
      <x:c r="G43" s="31"/>
      <x:c r="H43" s="31"/>
      <x:c r="I43" s="31"/>
    </x:row>
    <x:row r="44">
      <x:c r="E44" s="31"/>
      <x:c r="F44" s="31"/>
      <x:c r="G44" s="31"/>
      <x:c r="H44" s="31"/>
      <x:c r="I44" s="31"/>
    </x:row>
    <x:row r="45">
      <x:c r="E45" s="31"/>
      <x:c r="F45" s="31"/>
      <x:c r="G45" s="31"/>
      <x:c r="H45" s="31"/>
      <x:c r="I45" s="31"/>
    </x:row>
    <x:row r="46">
      <x:c r="E46" s="31"/>
      <x:c r="F46" s="31"/>
      <x:c r="G46" s="31"/>
      <x:c r="H46" s="31"/>
      <x:c r="I46" s="31"/>
    </x:row>
    <x:row r="47">
      <x:c r="E47" s="31"/>
      <x:c r="F47" s="31"/>
      <x:c r="G47" s="31"/>
      <x:c r="H47" s="31"/>
      <x:c r="I47" s="31"/>
    </x:row>
    <x:row r="48">
      <x:c r="E48" s="31"/>
      <x:c r="F48" s="31"/>
      <x:c r="G48" s="31"/>
      <x:c r="H48" s="31"/>
      <x:c r="I48" s="31"/>
    </x:row>
    <x:row r="49">
      <x:c r="E49" s="31"/>
      <x:c r="F49" s="31"/>
      <x:c r="G49" s="31"/>
      <x:c r="H49" s="31"/>
      <x:c r="I49" s="31"/>
    </x:row>
    <x:row r="50">
      <x:c r="E50" s="31"/>
      <x:c r="F50" s="31"/>
      <x:c r="G50" s="31"/>
      <x:c r="H50" s="31"/>
      <x:c r="I50" s="31"/>
    </x:row>
    <x:row r="51">
      <x:c r="E51" s="31"/>
      <x:c r="F51" s="31"/>
      <x:c r="G51" s="31"/>
      <x:c r="H51" s="31"/>
      <x:c r="I51" s="31"/>
    </x:row>
    <x:row r="52">
      <x:c r="E52" s="31"/>
      <x:c r="F52" s="31"/>
      <x:c r="G52" s="31"/>
      <x:c r="H52" s="31"/>
      <x:c r="I52" s="31"/>
    </x:row>
    <x:row r="53">
      <x:c r="E53" s="31"/>
      <x:c r="F53" s="31"/>
      <x:c r="G53" s="31"/>
      <x:c r="H53" s="31"/>
      <x:c r="I53" s="31"/>
    </x:row>
    <x:row r="54">
      <x:c r="E54" s="31"/>
      <x:c r="F54" s="31"/>
      <x:c r="G54" s="31"/>
      <x:c r="H54" s="31"/>
      <x:c r="I54" s="31"/>
    </x:row>
    <x:row r="55">
      <x:c r="E55" s="31"/>
      <x:c r="F55" s="31"/>
      <x:c r="G55" s="31"/>
      <x:c r="H55" s="31"/>
      <x:c r="I55" s="31"/>
    </x:row>
    <x:row r="56">
      <x:c r="E56" s="31"/>
      <x:c r="F56" s="31"/>
      <x:c r="G56" s="31"/>
      <x:c r="H56" s="31"/>
      <x:c r="I56" s="31"/>
    </x:row>
    <x:row r="57">
      <x:c r="E57" s="31"/>
      <x:c r="F57" s="31"/>
      <x:c r="G57" s="31"/>
      <x:c r="H57" s="31"/>
      <x:c r="I57" s="31"/>
    </x:row>
    <x:row r="58">
      <x:c r="E58" s="31"/>
      <x:c r="F58" s="31"/>
      <x:c r="G58" s="31"/>
      <x:c r="H58" s="31"/>
      <x:c r="I58" s="31"/>
    </x:row>
    <x:row r="59">
      <x:c r="E59" s="31"/>
      <x:c r="F59" s="31"/>
      <x:c r="G59" s="31"/>
      <x:c r="H59" s="31"/>
      <x:c r="I59" s="31"/>
    </x:row>
    <x:row r="60">
      <x:c r="E60" s="31"/>
      <x:c r="F60" s="31"/>
      <x:c r="G60" s="31"/>
      <x:c r="H60" s="31"/>
      <x:c r="I60" s="31"/>
    </x:row>
    <x:row r="61">
      <x:c r="E61" s="31"/>
      <x:c r="F61" s="31"/>
      <x:c r="G61" s="31"/>
      <x:c r="H61" s="31"/>
      <x:c r="I61" s="31"/>
    </x:row>
    <x:row r="62">
      <x:c r="E62" s="31"/>
      <x:c r="F62" s="31"/>
      <x:c r="G62" s="31"/>
      <x:c r="H62" s="31"/>
      <x:c r="I62" s="31"/>
    </x:row>
    <x:row r="63">
      <x:c r="E63" s="31"/>
      <x:c r="F63" s="31"/>
      <x:c r="G63" s="31"/>
      <x:c r="H63" s="31"/>
      <x:c r="I63" s="31"/>
    </x:row>
    <x:row r="64">
      <x:c r="E64" s="31"/>
      <x:c r="F64" s="31"/>
      <x:c r="G64" s="31"/>
      <x:c r="H64" s="31"/>
      <x:c r="I64" s="31"/>
    </x:row>
    <x:row r="65">
      <x:c r="E65" s="31"/>
      <x:c r="F65" s="31"/>
      <x:c r="G65" s="31"/>
      <x:c r="H65" s="31"/>
      <x:c r="I65" s="31"/>
    </x:row>
    <x:row r="66">
      <x:c r="E66" s="31"/>
      <x:c r="F66" s="31"/>
      <x:c r="G66" s="31"/>
      <x:c r="H66" s="31"/>
      <x:c r="I66" s="31"/>
    </x:row>
    <x:row r="67">
      <x:c r="E67" s="31"/>
      <x:c r="F67" s="31"/>
      <x:c r="G67" s="31"/>
      <x:c r="H67" s="31"/>
      <x:c r="I67" s="31"/>
    </x:row>
    <x:row r="68">
      <x:c r="E68" s="31"/>
      <x:c r="F68" s="31"/>
      <x:c r="G68" s="31"/>
      <x:c r="H68" s="31"/>
      <x:c r="I68" s="31"/>
    </x:row>
    <x:row r="69">
      <x:c r="E69" s="31"/>
      <x:c r="F69" s="31"/>
      <x:c r="G69" s="31"/>
      <x:c r="H69" s="31"/>
      <x:c r="I69" s="31"/>
    </x:row>
    <x:row r="70">
      <x:c r="E70" s="31"/>
      <x:c r="F70" s="31"/>
      <x:c r="G70" s="31"/>
      <x:c r="H70" s="31"/>
      <x:c r="I70" s="31"/>
    </x:row>
    <x:row r="71">
      <x:c r="E71" s="31"/>
      <x:c r="F71" s="31"/>
      <x:c r="G71" s="31"/>
      <x:c r="H71" s="31"/>
      <x:c r="I71" s="31"/>
    </x:row>
    <x:row r="72">
      <x:c r="E72" s="31"/>
      <x:c r="F72" s="31"/>
      <x:c r="G72" s="31"/>
      <x:c r="H72" s="31"/>
      <x:c r="I72" s="31"/>
    </x:row>
    <x:row r="73">
      <x:c r="E73" s="31"/>
      <x:c r="F73" s="31"/>
      <x:c r="G73" s="31"/>
      <x:c r="H73" s="31"/>
      <x:c r="I73" s="31"/>
    </x:row>
    <x:row r="74">
      <x:c r="E74" s="31"/>
      <x:c r="F74" s="31"/>
      <x:c r="G74" s="31"/>
      <x:c r="H74" s="31"/>
      <x:c r="I74" s="31"/>
    </x:row>
    <x:row r="75">
      <x:c r="E75" s="31"/>
      <x:c r="F75" s="31"/>
      <x:c r="G75" s="31"/>
      <x:c r="H75" s="31"/>
      <x:c r="I75" s="31"/>
    </x:row>
    <x:row r="76">
      <x:c r="E76" s="31"/>
      <x:c r="F76" s="31"/>
      <x:c r="G76" s="31"/>
      <x:c r="H76" s="31"/>
      <x:c r="I76" s="31"/>
    </x:row>
    <x:row r="77">
      <x:c r="E77" s="31"/>
      <x:c r="F77" s="31"/>
      <x:c r="G77" s="31"/>
      <x:c r="H77" s="31"/>
      <x:c r="I77" s="31"/>
    </x:row>
    <x:row r="78">
      <x:c r="E78" s="31"/>
      <x:c r="F78" s="31"/>
      <x:c r="G78" s="31"/>
      <x:c r="H78" s="31"/>
      <x:c r="I78" s="31"/>
    </x:row>
    <x:row r="79">
      <x:c r="E79" s="31"/>
      <x:c r="F79" s="31"/>
      <x:c r="G79" s="31"/>
      <x:c r="H79" s="31"/>
      <x:c r="I79" s="31"/>
    </x:row>
    <x:row r="80">
      <x:c r="E80" s="31"/>
      <x:c r="F80" s="31"/>
      <x:c r="G80" s="31"/>
      <x:c r="H80" s="31"/>
      <x:c r="I80" s="31"/>
    </x:row>
    <x:row r="81">
      <x:c r="E81" s="31"/>
      <x:c r="F81" s="31"/>
      <x:c r="G81" s="31"/>
      <x:c r="H81" s="31"/>
      <x:c r="I81" s="31"/>
    </x:row>
    <x:row r="82">
      <x:c r="E82" s="31"/>
      <x:c r="F82" s="31"/>
      <x:c r="G82" s="31"/>
      <x:c r="H82" s="31"/>
      <x:c r="I82" s="31"/>
    </x:row>
    <x:row r="83">
      <x:c r="E83" s="31"/>
      <x:c r="F83" s="31"/>
      <x:c r="G83" s="31"/>
      <x:c r="H83" s="31"/>
      <x:c r="I83" s="31"/>
    </x:row>
    <x:row r="84">
      <x:c r="E84" s="31"/>
      <x:c r="F84" s="31"/>
      <x:c r="G84" s="31"/>
      <x:c r="H84" s="31"/>
      <x:c r="I84" s="31"/>
    </x:row>
    <x:row r="85">
      <x:c r="E85" s="31"/>
      <x:c r="F85" s="31"/>
      <x:c r="G85" s="31"/>
      <x:c r="H85" s="31"/>
      <x:c r="I85" s="31"/>
    </x:row>
    <x:row r="86">
      <x:c r="E86" s="31"/>
      <x:c r="F86" s="31"/>
      <x:c r="G86" s="31"/>
      <x:c r="H86" s="31"/>
      <x:c r="I86" s="31"/>
    </x:row>
    <x:row r="87">
      <x:c r="E87" s="31"/>
      <x:c r="F87" s="31"/>
      <x:c r="G87" s="31"/>
      <x:c r="H87" s="31"/>
      <x:c r="I87" s="31"/>
    </x:row>
    <x:row r="88">
      <x:c r="E88" s="31"/>
      <x:c r="F88" s="31"/>
      <x:c r="G88" s="31"/>
      <x:c r="H88" s="31"/>
      <x:c r="I88" s="31"/>
    </x:row>
    <x:row r="89">
      <x:c r="E89" s="31"/>
      <x:c r="F89" s="31"/>
      <x:c r="G89" s="31"/>
      <x:c r="H89" s="31"/>
      <x:c r="I89" s="31"/>
    </x:row>
    <x:row r="90">
      <x:c r="E90" s="31"/>
      <x:c r="F90" s="31"/>
      <x:c r="G90" s="31"/>
      <x:c r="H90" s="31"/>
      <x:c r="I90" s="31"/>
    </x:row>
    <x:row r="91">
      <x:c r="E91" s="31"/>
      <x:c r="F91" s="31"/>
      <x:c r="G91" s="31"/>
      <x:c r="H91" s="31"/>
      <x:c r="I91" s="31"/>
    </x:row>
    <x:row r="92">
      <x:c r="E92" s="31"/>
      <x:c r="F92" s="31"/>
      <x:c r="G92" s="31"/>
      <x:c r="H92" s="31"/>
      <x:c r="I92" s="31"/>
    </x:row>
    <x:row r="93">
      <x:c r="E93" s="31"/>
      <x:c r="F93" s="31"/>
      <x:c r="G93" s="31"/>
      <x:c r="H93" s="31"/>
      <x:c r="I93" s="31"/>
    </x:row>
    <x:row r="94">
      <x:c r="E94" s="31"/>
      <x:c r="F94" s="31"/>
      <x:c r="G94" s="31"/>
      <x:c r="H94" s="31"/>
      <x:c r="I94" s="31"/>
    </x:row>
    <x:row r="95">
      <x:c r="E95" s="31"/>
      <x:c r="F95" s="31"/>
      <x:c r="G95" s="31"/>
      <x:c r="H95" s="31"/>
      <x:c r="I95" s="31"/>
    </x:row>
    <x:row r="96">
      <x:c r="E96" s="31"/>
      <x:c r="F96" s="31"/>
      <x:c r="G96" s="31"/>
      <x:c r="H96" s="31"/>
      <x:c r="I96" s="31"/>
    </x:row>
    <x:row r="97">
      <x:c r="E97" s="31"/>
      <x:c r="F97" s="31"/>
      <x:c r="G97" s="31"/>
      <x:c r="H97" s="31"/>
      <x:c r="I97" s="31"/>
    </x:row>
    <x:row r="98">
      <x:c r="E98" s="31"/>
      <x:c r="F98" s="31"/>
      <x:c r="G98" s="31"/>
      <x:c r="H98" s="31"/>
      <x:c r="I98" s="31"/>
    </x:row>
    <x:row r="99">
      <x:c r="E99" s="31"/>
      <x:c r="F99" s="31"/>
      <x:c r="G99" s="31"/>
      <x:c r="H99" s="31"/>
      <x:c r="I99" s="31"/>
    </x:row>
    <x:row r="100">
      <x:c r="E100" s="31"/>
      <x:c r="F100" s="31"/>
      <x:c r="G100" s="31"/>
      <x:c r="H100" s="31"/>
      <x:c r="I100" s="3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20" t="str">
        <x:v>Stakeholder RACI Matrix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</x:row>
    <x:row r="3" ht="34" customHeight="1">
      <x:c r="A3" s="26" t="str">
        <x:v>Activity</x:v>
      </x:c>
      <x:c r="B3" s="26" t="str">
        <x:v>Founder/Sponsor</x:v>
      </x:c>
      <x:c r="C3" s="26" t="str">
        <x:v>Product Manager</x:v>
      </x:c>
      <x:c r="D3" s="26" t="str">
        <x:v>Project Manager</x:v>
      </x:c>
      <x:c r="E3" s="26" t="str">
        <x:v>Business Analyst</x:v>
      </x:c>
      <x:c r="F3" s="26" t="str">
        <x:v>Engineering Lead</x:v>
      </x:c>
      <x:c r="G3" s="26" t="str">
        <x:v>QA Lead</x:v>
      </x:c>
      <x:c r="H3" s="26" t="str">
        <x:v>AI Engineer</x:v>
      </x:c>
      <x:c r="I3" s="26" t="str">
        <x:v>Solution Architect</x:v>
      </x:c>
      <x:c r="J3" s="26" t="str">
        <x:v>Customer/User</x:v>
      </x:c>
    </x:row>
    <x:row r="4">
      <x:c r="A4" s="28" t="str">
        <x:v>Idea validation</x:v>
      </x:c>
      <x:c r="B4" s="28" t="str">
        <x:v>A</x:v>
      </x:c>
      <x:c r="C4" s="28" t="str">
        <x:v>R</x:v>
      </x:c>
      <x:c r="D4" s="28" t="str">
        <x:v>C</x:v>
      </x:c>
      <x:c r="E4" s="28" t="str">
        <x:v>C</x:v>
      </x:c>
      <x:c r="F4" s="28" t="str">
        <x:v>I</x:v>
      </x:c>
      <x:c r="G4" s="28" t="str">
        <x:v>I</x:v>
      </x:c>
      <x:c r="H4" s="28" t="str">
        <x:v>C</x:v>
      </x:c>
      <x:c r="I4" s="28" t="str">
        <x:v>C</x:v>
      </x:c>
      <x:c r="J4" s="28"/>
    </x:row>
    <x:row r="5">
      <x:c r="A5" s="28" t="str">
        <x:v>Product strategy</x:v>
      </x:c>
      <x:c r="B5" s="28" t="str">
        <x:v>A</x:v>
      </x:c>
      <x:c r="C5" s="28" t="str">
        <x:v>R</x:v>
      </x:c>
      <x:c r="D5" s="28" t="str">
        <x:v>C</x:v>
      </x:c>
      <x:c r="E5" s="28" t="str">
        <x:v>C</x:v>
      </x:c>
      <x:c r="F5" s="28" t="str">
        <x:v>C</x:v>
      </x:c>
      <x:c r="G5" s="28" t="str">
        <x:v>I</x:v>
      </x:c>
      <x:c r="H5" s="28" t="str">
        <x:v>C</x:v>
      </x:c>
      <x:c r="I5" s="28" t="str">
        <x:v>C</x:v>
      </x:c>
      <x:c r="J5" s="28"/>
    </x:row>
    <x:row r="6">
      <x:c r="A6" s="28" t="str">
        <x:v>PRD creation</x:v>
      </x:c>
      <x:c r="B6" s="28" t="str">
        <x:v>C</x:v>
      </x:c>
      <x:c r="C6" s="28" t="str">
        <x:v>A/R</x:v>
      </x:c>
      <x:c r="D6" s="28" t="str">
        <x:v>I</x:v>
      </x:c>
      <x:c r="E6" s="28" t="str">
        <x:v>R</x:v>
      </x:c>
      <x:c r="F6" s="28" t="str">
        <x:v>C</x:v>
      </x:c>
      <x:c r="G6" s="28" t="str">
        <x:v>C</x:v>
      </x:c>
      <x:c r="H6" s="28" t="str">
        <x:v>C</x:v>
      </x:c>
      <x:c r="I6" s="28" t="str">
        <x:v>C</x:v>
      </x:c>
      <x:c r="J6" s="28"/>
    </x:row>
    <x:row r="7">
      <x:c r="A7" s="28" t="str">
        <x:v>BRD/FRD creation</x:v>
      </x:c>
      <x:c r="B7" s="28" t="str">
        <x:v>C</x:v>
      </x:c>
      <x:c r="C7" s="28" t="str">
        <x:v>C</x:v>
      </x:c>
      <x:c r="D7" s="28" t="str">
        <x:v>I</x:v>
      </x:c>
      <x:c r="E7" s="28" t="str">
        <x:v>A/R</x:v>
      </x:c>
      <x:c r="F7" s="28" t="str">
        <x:v>C</x:v>
      </x:c>
      <x:c r="G7" s="28" t="str">
        <x:v>C</x:v>
      </x:c>
      <x:c r="H7" s="28" t="str">
        <x:v>C</x:v>
      </x:c>
      <x:c r="I7" s="28" t="str">
        <x:v>C</x:v>
      </x:c>
      <x:c r="J7" s="28"/>
    </x:row>
    <x:row r="8">
      <x:c r="A8" s="28" t="str">
        <x:v>Backlog creation</x:v>
      </x:c>
      <x:c r="B8" s="28" t="str">
        <x:v>I</x:v>
      </x:c>
      <x:c r="C8" s="28" t="str">
        <x:v>A</x:v>
      </x:c>
      <x:c r="D8" s="28" t="str">
        <x:v>C</x:v>
      </x:c>
      <x:c r="E8" s="28" t="str">
        <x:v>R</x:v>
      </x:c>
      <x:c r="F8" s="28" t="str">
        <x:v>C</x:v>
      </x:c>
      <x:c r="G8" s="28" t="str">
        <x:v>C</x:v>
      </x:c>
      <x:c r="H8" s="28" t="str">
        <x:v>I</x:v>
      </x:c>
      <x:c r="I8" s="28" t="str">
        <x:v>I</x:v>
      </x:c>
      <x:c r="J8" s="28"/>
    </x:row>
    <x:row r="9">
      <x:c r="A9" s="28" t="str">
        <x:v>Sprint planning</x:v>
      </x:c>
      <x:c r="B9" s="28" t="str">
        <x:v>I</x:v>
      </x:c>
      <x:c r="C9" s="28" t="str">
        <x:v>C</x:v>
      </x:c>
      <x:c r="D9" s="28" t="str">
        <x:v>A/R</x:v>
      </x:c>
      <x:c r="E9" s="28" t="str">
        <x:v>C</x:v>
      </x:c>
      <x:c r="F9" s="28" t="str">
        <x:v>R</x:v>
      </x:c>
      <x:c r="G9" s="28" t="str">
        <x:v>C</x:v>
      </x:c>
      <x:c r="H9" s="28" t="str">
        <x:v>I</x:v>
      </x:c>
      <x:c r="I9" s="28" t="str">
        <x:v>I</x:v>
      </x:c>
      <x:c r="J9" s="28"/>
    </x:row>
    <x:row r="10">
      <x:c r="A10" s="28" t="str">
        <x:v>Engineering delivery</x:v>
      </x:c>
      <x:c r="B10" s="28" t="str">
        <x:v>I</x:v>
      </x:c>
      <x:c r="C10" s="28" t="str">
        <x:v>C</x:v>
      </x:c>
      <x:c r="D10" s="28" t="str">
        <x:v>C</x:v>
      </x:c>
      <x:c r="E10" s="28" t="str">
        <x:v>I</x:v>
      </x:c>
      <x:c r="F10" s="28" t="str">
        <x:v>A/R</x:v>
      </x:c>
      <x:c r="G10" s="28" t="str">
        <x:v>C</x:v>
      </x:c>
      <x:c r="H10" s="28" t="str">
        <x:v>C</x:v>
      </x:c>
      <x:c r="I10" s="28" t="str">
        <x:v>C</x:v>
      </x:c>
      <x:c r="J10" s="28" t="str">
        <x:v>I</x:v>
      </x:c>
    </x:row>
    <x:row r="11">
      <x:c r="A11" s="28" t="str">
        <x:v>QA validation</x:v>
      </x:c>
      <x:c r="B11" s="28" t="str">
        <x:v>I</x:v>
      </x:c>
      <x:c r="C11" s="28" t="str">
        <x:v>A</x:v>
      </x:c>
      <x:c r="D11" s="28" t="str">
        <x:v>C</x:v>
      </x:c>
      <x:c r="E11" s="28" t="str">
        <x:v>C</x:v>
      </x:c>
      <x:c r="F11" s="28" t="str">
        <x:v>C</x:v>
      </x:c>
      <x:c r="G11" s="28" t="str">
        <x:v>R</x:v>
      </x:c>
      <x:c r="H11" s="28" t="str">
        <x:v>I</x:v>
      </x:c>
      <x:c r="I11" s="28" t="str">
        <x:v>I</x:v>
      </x:c>
      <x:c r="J11" s="28" t="str">
        <x:v>I</x:v>
      </x:c>
    </x:row>
    <x:row r="12">
      <x:c r="A12" s="28" t="str">
        <x:v>Documentation sync</x:v>
      </x:c>
      <x:c r="B12" s="28" t="str">
        <x:v>I</x:v>
      </x:c>
      <x:c r="C12" s="28" t="str">
        <x:v>A</x:v>
      </x:c>
      <x:c r="D12" s="28" t="str">
        <x:v>R</x:v>
      </x:c>
      <x:c r="E12" s="28" t="str">
        <x:v>R</x:v>
      </x:c>
      <x:c r="F12" s="28" t="str">
        <x:v>C</x:v>
      </x:c>
      <x:c r="G12" s="28" t="str">
        <x:v>C</x:v>
      </x:c>
      <x:c r="H12" s="28" t="str">
        <x:v>I</x:v>
      </x:c>
      <x:c r="I12" s="28" t="str">
        <x:v>C</x:v>
      </x:c>
      <x:c r="J12" s="28" t="str">
        <x:v>I</x:v>
      </x:c>
    </x:row>
    <x:row r="13">
      <x:c r="A13" s="28" t="str">
        <x:v>Release approval</x:v>
      </x:c>
      <x:c r="B13" s="28" t="str">
        <x:v>A</x:v>
      </x:c>
      <x:c r="C13" s="28" t="str">
        <x:v>R</x:v>
      </x:c>
      <x:c r="D13" s="28" t="str">
        <x:v>R</x:v>
      </x:c>
      <x:c r="E13" s="28" t="str">
        <x:v>C</x:v>
      </x:c>
      <x:c r="F13" s="28" t="str">
        <x:v>C</x:v>
      </x:c>
      <x:c r="G13" s="28" t="str">
        <x:v>C</x:v>
      </x:c>
      <x:c r="H13" s="28" t="str">
        <x:v>I</x:v>
      </x:c>
      <x:c r="I13" s="28" t="str">
        <x:v>I</x:v>
      </x:c>
      <x:c r="J13" s="28" t="str">
        <x:v>C</x:v>
      </x:c>
    </x:row>
    <x:row r="14">
      <x:c r="A14" s="28" t="str">
        <x:v>Progress reporting</x:v>
      </x:c>
      <x:c r="B14" s="28" t="str">
        <x:v>A</x:v>
      </x:c>
      <x:c r="C14" s="28" t="str">
        <x:v>C</x:v>
      </x:c>
      <x:c r="D14" s="28" t="str">
        <x:v>R</x:v>
      </x:c>
      <x:c r="E14" s="28" t="str">
        <x:v>C</x:v>
      </x:c>
      <x:c r="F14" s="28" t="str">
        <x:v>C</x:v>
      </x:c>
      <x:c r="G14" s="28" t="str">
        <x:v>C</x:v>
      </x:c>
      <x:c r="H14" s="28" t="str">
        <x:v>I</x:v>
      </x:c>
      <x:c r="I14" s="28" t="str">
        <x:v>I</x:v>
      </x:c>
      <x:c r="J14" s="28" t="str">
        <x:v>I</x:v>
      </x:c>
    </x:row>
    <x:row r="15">
      <x:c r="A15" s="28" t="str">
        <x:v>Feedback review</x:v>
      </x:c>
      <x:c r="B15" s="28" t="str">
        <x:v>A</x:v>
      </x:c>
      <x:c r="C15" s="28" t="str">
        <x:v>R</x:v>
      </x:c>
      <x:c r="D15" s="28" t="str">
        <x:v>C</x:v>
      </x:c>
      <x:c r="E15" s="28" t="str">
        <x:v>C</x:v>
      </x:c>
      <x:c r="F15" s="28" t="str">
        <x:v>I</x:v>
      </x:c>
      <x:c r="G15" s="28" t="str">
        <x:v>I</x:v>
      </x:c>
      <x:c r="H15" s="28" t="str">
        <x:v>I</x:v>
      </x:c>
      <x:c r="I15" s="28" t="str">
        <x:v>I</x:v>
      </x:c>
      <x:c r="J15" s="28" t="str">
        <x:v>C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18" hidden="0" customWidth="1"/>
    <x:col min="4" max="4" width="18" hidden="0" customWidth="1"/>
    <x:col min="5" max="5" width="14" hidden="0" customWidth="1"/>
    <x:col min="6" max="6" width="22" hidden="0" customWidth="1"/>
    <x:col min="7" max="7" width="16" hidden="0" customWidth="1"/>
    <x:col min="8" max="8" width="50" hidden="0" customWidth="1"/>
  </x:cols>
  <x:sheetData>
    <x:row r="1" ht="28" customHeight="1">
      <x:c r="A1" s="20" t="str">
        <x:v>Metrics and KPI Library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3" ht="34" customHeight="1">
      <x:c r="A3" s="26" t="str">
        <x:v>Metric</x:v>
      </x:c>
      <x:c r="B3" s="26" t="str">
        <x:v>Definition</x:v>
      </x:c>
      <x:c r="C3" s="26" t="str">
        <x:v>Category</x:v>
      </x:c>
      <x:c r="D3" s="26" t="str">
        <x:v>Target</x:v>
      </x:c>
      <x:c r="E3" s="26" t="str">
        <x:v>Cadence</x:v>
      </x:c>
      <x:c r="F3" s="26" t="str">
        <x:v>Owner</x:v>
      </x:c>
      <x:c r="G3" s="26" t="str">
        <x:v>Mapped Step</x:v>
      </x:c>
      <x:c r="H3" s="26" t="str">
        <x:v>Why It Matters</x:v>
      </x:c>
    </x:row>
    <x:row r="4">
      <x:c r="A4" s="28" t="str">
        <x:v>Idea Quality</x:v>
      </x:c>
      <x:c r="B4" s="28" t="str">
        <x:v>% ideas with approved problem statement</x:v>
      </x:c>
      <x:c r="C4" s="28" t="str">
        <x:v>Discovery</x:v>
      </x:c>
      <x:c r="D4" s="28" t="str">
        <x:v>&gt;=90%</x:v>
      </x:c>
      <x:c r="E4" s="28" t="str">
        <x:v>Weekly</x:v>
      </x:c>
      <x:c r="F4" s="28" t="str">
        <x:v>Product Manager</x:v>
      </x:c>
      <x:c r="G4" s="28" t="str">
        <x:v>S01-S03</x:v>
      </x:c>
      <x:c r="H4" s="28" t="str">
        <x:v>Ensures ideas are not solution-led only</x:v>
      </x:c>
    </x:row>
    <x:row r="5">
      <x:c r="A5" s="28" t="str">
        <x:v>Backlog Readiness</x:v>
      </x:c>
      <x:c r="B5" s="28" t="str">
        <x:v>% stories passing INVEST quality checks</x:v>
      </x:c>
      <x:c r="C5" s="28" t="str">
        <x:v>BA</x:v>
      </x:c>
      <x:c r="D5" s="28" t="str">
        <x:v>&gt;=85%</x:v>
      </x:c>
      <x:c r="E5" s="28" t="str">
        <x:v>Sprint</x:v>
      </x:c>
      <x:c r="F5" s="28" t="str">
        <x:v>Business Analyst</x:v>
      </x:c>
      <x:c r="G5" s="28" t="str">
        <x:v>S06</x:v>
      </x:c>
      <x:c r="H5" s="28" t="str">
        <x:v>Controls backlog ambiguity</x:v>
      </x:c>
    </x:row>
    <x:row r="6">
      <x:c r="A6" s="28" t="str">
        <x:v>AC Coverage</x:v>
      </x:c>
      <x:c r="B6" s="28" t="str">
        <x:v>% stories with functional + NFR acceptance criteria</x:v>
      </x:c>
      <x:c r="C6" s="28" t="str">
        <x:v>QA</x:v>
      </x:c>
      <x:c r="D6" s="28" t="str">
        <x:v>&gt;=95%</x:v>
      </x:c>
      <x:c r="E6" s="28" t="str">
        <x:v>Sprint</x:v>
      </x:c>
      <x:c r="F6" s="28" t="str">
        <x:v>QA Lead</x:v>
      </x:c>
      <x:c r="G6" s="28" t="str">
        <x:v>S07</x:v>
      </x:c>
      <x:c r="H6" s="28" t="str">
        <x:v>Ensures testable delivery</x:v>
      </x:c>
    </x:row>
    <x:row r="7">
      <x:c r="A7" s="28" t="str">
        <x:v>Traceability Coverage</x:v>
      </x:c>
      <x:c r="B7" s="28" t="str">
        <x:v>% stories linked to requirement, code, test and doc</x:v>
      </x:c>
      <x:c r="C7" s="28" t="str">
        <x:v>Delivery</x:v>
      </x:c>
      <x:c r="D7" s="28" t="str">
        <x:v>&gt;=90% MVP3</x:v>
      </x:c>
      <x:c r="E7" s="28" t="str">
        <x:v>Weekly</x:v>
      </x:c>
      <x:c r="F7" s="28" t="str">
        <x:v>Product Ops</x:v>
      </x:c>
      <x:c r="G7" s="28" t="str">
        <x:v>S12</x:v>
      </x:c>
      <x:c r="H7" s="28" t="str">
        <x:v>Core platform USP</x:v>
      </x:c>
    </x:row>
    <x:row r="8">
      <x:c r="A8" s="28" t="str">
        <x:v>Documentation Freshness</x:v>
      </x:c>
      <x:c r="B8" s="28" t="str">
        <x:v>Average delay between code merge and doc update</x:v>
      </x:c>
      <x:c r="C8" s="28" t="str">
        <x:v>Documentation</x:v>
      </x:c>
      <x:c r="D8" s="28" t="str">
        <x:v>&lt;24h</x:v>
      </x:c>
      <x:c r="E8" s="28" t="str">
        <x:v>Daily</x:v>
      </x:c>
      <x:c r="F8" s="28" t="str">
        <x:v>Documentation Agent</x:v>
      </x:c>
      <x:c r="G8" s="28" t="str">
        <x:v>S13</x:v>
      </x:c>
      <x:c r="H8" s="28" t="str">
        <x:v>Keeps Confluence trustworthy</x:v>
      </x:c>
    </x:row>
    <x:row r="9">
      <x:c r="A9" s="28" t="str">
        <x:v>Diagram Freshness</x:v>
      </x:c>
      <x:c r="B9" s="28" t="str">
        <x:v>Average delay between architecture change and Mermaid update</x:v>
      </x:c>
      <x:c r="C9" s="28" t="str">
        <x:v>Architecture</x:v>
      </x:c>
      <x:c r="D9" s="28" t="str">
        <x:v>&lt;24h</x:v>
      </x:c>
      <x:c r="E9" s="28" t="str">
        <x:v>Weekly</x:v>
      </x:c>
      <x:c r="F9" s="28" t="str">
        <x:v>Solution Architect</x:v>
      </x:c>
      <x:c r="G9" s="28" t="str">
        <x:v>S14</x:v>
      </x:c>
      <x:c r="H9" s="28" t="str">
        <x:v>Prevents architecture drift</x:v>
      </x:c>
    </x:row>
    <x:row r="10">
      <x:c r="A10" s="28" t="str">
        <x:v>Delivery Confidence</x:v>
      </x:c>
      <x:c r="B10" s="28" t="str">
        <x:v>Composite score from blockers, velocity, scope and risks</x:v>
      </x:c>
      <x:c r="C10" s="28" t="str">
        <x:v>PMO</x:v>
      </x:c>
      <x:c r="D10" s="28" t="str">
        <x:v>Green &gt;=80</x:v>
      </x:c>
      <x:c r="E10" s="28" t="str">
        <x:v>Weekly</x:v>
      </x:c>
      <x:c r="F10" s="28" t="str">
        <x:v>Project Manager</x:v>
      </x:c>
      <x:c r="G10" s="28" t="str">
        <x:v>S15</x:v>
      </x:c>
      <x:c r="H10" s="28" t="str">
        <x:v>Executive signal</x:v>
      </x:c>
    </x:row>
    <x:row r="11">
      <x:c r="A11" s="28" t="str">
        <x:v>Risk Response Time</x:v>
      </x:c>
      <x:c r="B11" s="28" t="str">
        <x:v>Average days to assign mitigation owner</x:v>
      </x:c>
      <x:c r="C11" s="28" t="str">
        <x:v>PMO</x:v>
      </x:c>
      <x:c r="D11" s="28" t="str">
        <x:v>&lt;2 days</x:v>
      </x:c>
      <x:c r="E11" s="28" t="str">
        <x:v>Weekly</x:v>
      </x:c>
      <x:c r="F11" s="28" t="str">
        <x:v>Project Manager</x:v>
      </x:c>
      <x:c r="G11" s="28" t="str">
        <x:v>S15</x:v>
      </x:c>
      <x:c r="H11" s="28" t="str">
        <x:v>Improves proactive delivery</x:v>
      </x:c>
    </x:row>
    <x:row r="12">
      <x:c r="A12" s="28" t="str">
        <x:v>PR Linkage Rate</x:v>
      </x:c>
      <x:c r="B12" s="28" t="str">
        <x:v>% PRs linked to story ID</x:v>
      </x:c>
      <x:c r="C12" s="28" t="str">
        <x:v>Engineering</x:v>
      </x:c>
      <x:c r="D12" s="28" t="str">
        <x:v>&gt;=95%</x:v>
      </x:c>
      <x:c r="E12" s="28" t="str">
        <x:v>Daily</x:v>
      </x:c>
      <x:c r="F12" s="28" t="str">
        <x:v>Engineering Lead</x:v>
      </x:c>
      <x:c r="G12" s="28" t="str">
        <x:v>S09-S10</x:v>
      </x:c>
      <x:c r="H12" s="28" t="str">
        <x:v>Enables code traceability</x:v>
      </x:c>
    </x:row>
    <x:row r="13">
      <x:c r="A13" s="28" t="str">
        <x:v>Validation Pass Rate</x:v>
      </x:c>
      <x:c r="B13" s="28" t="str">
        <x:v>% acceptance criteria passing validation</x:v>
      </x:c>
      <x:c r="C13" s="28" t="str">
        <x:v>QA</x:v>
      </x:c>
      <x:c r="D13" s="28" t="str">
        <x:v>&gt;=90%</x:v>
      </x:c>
      <x:c r="E13" s="28" t="str">
        <x:v>Sprint</x:v>
      </x:c>
      <x:c r="F13" s="28" t="str">
        <x:v>QA Lead</x:v>
      </x:c>
      <x:c r="G13" s="28" t="str">
        <x:v>S11</x:v>
      </x:c>
      <x:c r="H13" s="28" t="str">
        <x:v>Measures build quality</x:v>
      </x:c>
    </x:row>
    <x:row r="14">
      <x:c r="A14" s="28" t="str">
        <x:v>Stakeholder Decision Time</x:v>
      </x:c>
      <x:c r="B14" s="28" t="str">
        <x:v>Average time to approve/reject decisions</x:v>
      </x:c>
      <x:c r="C14" s="28" t="str">
        <x:v>Governance</x:v>
      </x:c>
      <x:c r="D14" s="28" t="str">
        <x:v>&lt;3 days</x:v>
      </x:c>
      <x:c r="E14" s="28" t="str">
        <x:v>Weekly</x:v>
      </x:c>
      <x:c r="F14" s="28" t="str">
        <x:v>Sponsor</x:v>
      </x:c>
      <x:c r="G14" s="28" t="str">
        <x:v>S17</x:v>
      </x:c>
      <x:c r="H14" s="28" t="str">
        <x:v>Reduces delivery delays</x:v>
      </x:c>
    </x:row>
    <x:row r="15">
      <x:c r="A15" s="28" t="str">
        <x:v>Release Defect Rate</x:v>
      </x:c>
      <x:c r="B15" s="28" t="str">
        <x:v>Post-release defects per release</x:v>
      </x:c>
      <x:c r="C15" s="28" t="str">
        <x:v>Quality</x:v>
      </x:c>
      <x:c r="D15" s="28" t="str">
        <x:v>Trend down</x:v>
      </x:c>
      <x:c r="E15" s="28" t="str">
        <x:v>Release</x:v>
      </x:c>
      <x:c r="F15" s="28" t="str">
        <x:v>QA Lead</x:v>
      </x:c>
      <x:c r="G15" s="28" t="str">
        <x:v>S18</x:v>
      </x:c>
      <x:c r="H15" s="28" t="str">
        <x:v>Measures delivery quality</x:v>
      </x:c>
    </x:row>
    <x:row r="16">
      <x:c r="A16" s="28" t="str">
        <x:v>Feature Adoption</x:v>
      </x:c>
      <x:c r="B16" s="28" t="str">
        <x:v>% target users using released feature</x:v>
      </x:c>
      <x:c r="C16" s="28" t="str">
        <x:v>Product</x:v>
      </x:c>
      <x:c r="D16" s="28" t="str">
        <x:v>Target by feature</x:v>
      </x:c>
      <x:c r="E16" s="28" t="str">
        <x:v>Monthly</x:v>
      </x:c>
      <x:c r="F16" s="28" t="str">
        <x:v>Product Manager</x:v>
      </x:c>
      <x:c r="G16" s="28" t="str">
        <x:v>S19</x:v>
      </x:c>
      <x:c r="H16" s="28" t="str">
        <x:v>Measures value</x:v>
      </x:c>
    </x:row>
    <x:row r="17">
      <x:c r="A17" s="28" t="str">
        <x:v>NPS / Satisfaction</x:v>
      </x:c>
      <x:c r="B17" s="28" t="str">
        <x:v>User satisfaction after release</x:v>
      </x:c>
      <x:c r="C17" s="28" t="str">
        <x:v>Product</x:v>
      </x:c>
      <x:c r="D17" s="28" t="str">
        <x:v>&gt;40 NPS</x:v>
      </x:c>
      <x:c r="E17" s="28" t="str">
        <x:v>Monthly</x:v>
      </x:c>
      <x:c r="F17" s="28" t="str">
        <x:v>Product Manager</x:v>
      </x:c>
      <x:c r="G17" s="28" t="str">
        <x:v>S19</x:v>
      </x:c>
      <x:c r="H17" s="28" t="str">
        <x:v>Measures customer value</x:v>
      </x:c>
    </x:row>
    <x:row r="18">
      <x:c r="A18" s="28" t="str">
        <x:v>AI Cost per Project</x:v>
      </x:c>
      <x:c r="B18" s="28" t="str">
        <x:v>LLM/tooling cost per delivered project</x:v>
      </x:c>
      <x:c r="C18" s="28" t="str">
        <x:v>Finance</x:v>
      </x:c>
      <x:c r="D18" s="28" t="str">
        <x:v>Within budget</x:v>
      </x:c>
      <x:c r="E18" s="28" t="str">
        <x:v>Monthly</x:v>
      </x:c>
      <x:c r="F18" s="28" t="str">
        <x:v>AI Lead</x:v>
      </x:c>
      <x:c r="G18" s="28" t="str">
        <x:v>All</x:v>
      </x:c>
      <x:c r="H18" s="28" t="str">
        <x:v>Controls operating cost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2" hidden="0" customWidth="1"/>
    <x:col min="4" max="4" width="55" hidden="0" customWidth="1"/>
    <x:col min="5" max="5" width="32" hidden="0" customWidth="1"/>
    <x:col min="6" max="6" width="16" hidden="0" customWidth="1"/>
    <x:col min="7" max="7" width="45" hidden="0" customWidth="1"/>
  </x:cols>
  <x:sheetData>
    <x:row r="1" ht="28" customHeight="1">
      <x:c r="A1" s="20" t="str">
        <x:v>Daily Weekly Monthly Quarterly Progress Cards</x:v>
      </x:c>
      <x:c r="B1" s="7" t="str"/>
      <x:c r="C1" s="7" t="str"/>
      <x:c r="D1" s="7" t="str"/>
      <x:c r="E1" s="7" t="str"/>
      <x:c r="F1" s="7" t="str"/>
      <x:c r="G1" s="7" t="str"/>
    </x:row>
    <x:row r="3" ht="34" customHeight="1">
      <x:c r="A3" s="26" t="str">
        <x:v>Card</x:v>
      </x:c>
      <x:c r="B3" s="26" t="str">
        <x:v>Cadence</x:v>
      </x:c>
      <x:c r="C3" s="26" t="str">
        <x:v>Owner</x:v>
      </x:c>
      <x:c r="D3" s="26" t="str">
        <x:v>Content</x:v>
      </x:c>
      <x:c r="E3" s="26" t="str">
        <x:v>Audience</x:v>
      </x:c>
      <x:c r="F3" s="26" t="str">
        <x:v>Mapped Step</x:v>
      </x:c>
      <x:c r="G3" s="26" t="str">
        <x:v>Value</x:v>
      </x:c>
    </x:row>
    <x:row r="4">
      <x:c r="A4" s="28" t="str">
        <x:v>Daily Standup Card</x:v>
      </x:c>
      <x:c r="B4" s="28" t="str">
        <x:v>Daily</x:v>
      </x:c>
      <x:c r="C4" s="28" t="str">
        <x:v>Project Manager</x:v>
      </x:c>
      <x:c r="D4" s="28" t="str">
        <x:v>Yesterday, today, blockers, risks, story updates</x:v>
      </x:c>
      <x:c r="E4" s="28" t="str">
        <x:v>Team, PM, Engineering Lead</x:v>
      </x:c>
      <x:c r="F4" s="28" t="str">
        <x:v>S16</x:v>
      </x:c>
      <x:c r="G4" s="28" t="str">
        <x:v>Fast operational alignment</x:v>
      </x:c>
    </x:row>
    <x:row r="5">
      <x:c r="A5" s="28" t="str">
        <x:v>Weekly Executive Card</x:v>
      </x:c>
      <x:c r="B5" s="28" t="str">
        <x:v>Weekly</x:v>
      </x:c>
      <x:c r="C5" s="28" t="str">
        <x:v>Project Manager</x:v>
      </x:c>
      <x:c r="D5" s="28" t="str">
        <x:v>Progress, risks, budget, decisions needed, next milestones</x:v>
      </x:c>
      <x:c r="E5" s="28" t="str">
        <x:v>Sponsor, leadership</x:v>
      </x:c>
      <x:c r="F5" s="28" t="str">
        <x:v>S16-S17</x:v>
      </x:c>
      <x:c r="G5" s="28" t="str">
        <x:v>Leadership confidence and fast decisions</x:v>
      </x:c>
    </x:row>
    <x:row r="6">
      <x:c r="A6" s="28" t="str">
        <x:v>Sprint Review Card</x:v>
      </x:c>
      <x:c r="B6" s="28" t="str">
        <x:v>Sprint</x:v>
      </x:c>
      <x:c r="C6" s="28" t="str">
        <x:v>Product Manager</x:v>
      </x:c>
      <x:c r="D6" s="28" t="str">
        <x:v>Stories completed, demo links, validation results, stakeholder feedback</x:v>
      </x:c>
      <x:c r="E6" s="28" t="str">
        <x:v>Product, engineering, customers</x:v>
      </x:c>
      <x:c r="F6" s="28" t="str">
        <x:v>S15-S18</x:v>
      </x:c>
      <x:c r="G6" s="28" t="str">
        <x:v>Evidence of delivered value</x:v>
      </x:c>
    </x:row>
    <x:row r="7">
      <x:c r="A7" s="28" t="str">
        <x:v>Monthly Value Card</x:v>
      </x:c>
      <x:c r="B7" s="28" t="str">
        <x:v>Monthly</x:v>
      </x:c>
      <x:c r="C7" s="28" t="str">
        <x:v>Product Manager</x:v>
      </x:c>
      <x:c r="D7" s="28" t="str">
        <x:v>Features shipped, adoption, user feedback, costs, roadmap changes</x:v>
      </x:c>
      <x:c r="E7" s="28" t="str">
        <x:v>Executives, customers</x:v>
      </x:c>
      <x:c r="F7" s="28" t="str">
        <x:v>S19-S20</x:v>
      </x:c>
      <x:c r="G7" s="28" t="str">
        <x:v>Tracks value after release</x:v>
      </x:c>
    </x:row>
    <x:row r="8">
      <x:c r="A8" s="28" t="str">
        <x:v>Quarterly Portfolio Card</x:v>
      </x:c>
      <x:c r="B8" s="28" t="str">
        <x:v>Quarterly</x:v>
      </x:c>
      <x:c r="C8" s="28" t="str">
        <x:v>PMO Lead</x:v>
      </x:c>
      <x:c r="D8" s="28" t="str">
        <x:v>Portfolio health, ROI, risks, resource allocation, strategy alignment</x:v>
      </x:c>
      <x:c r="E8" s="28" t="str">
        <x:v>Board, senior leaders</x:v>
      </x:c>
      <x:c r="F8" s="28" t="str">
        <x:v>S21</x:v>
      </x:c>
      <x:c r="G8" s="28" t="str">
        <x:v>Strategic governance</x:v>
      </x:c>
    </x:row>
    <x:row r="9">
      <x:c r="A9" s="28" t="str">
        <x:v>Risk Escalation Card</x:v>
      </x:c>
      <x:c r="B9" s="28" t="str">
        <x:v>As needed</x:v>
      </x:c>
      <x:c r="C9" s="28" t="str">
        <x:v>Project Manager</x:v>
      </x:c>
      <x:c r="D9" s="28" t="str">
        <x:v>Risk description, impact, owner, mitigation, decision required</x:v>
      </x:c>
      <x:c r="E9" s="28" t="str">
        <x:v>Sponsor, affected teams</x:v>
      </x:c>
      <x:c r="F9" s="28" t="str">
        <x:v>S15</x:v>
      </x:c>
      <x:c r="G9" s="28" t="str">
        <x:v>Prevents hidden blockers</x:v>
      </x:c>
    </x:row>
    <x:row r="10">
      <x:c r="A10" s="28" t="str">
        <x:v>Release Readiness Card</x:v>
      </x:c>
      <x:c r="B10" s="28" t="str">
        <x:v>Release</x:v>
      </x:c>
      <x:c r="C10" s="28" t="str">
        <x:v>Engineering Lead</x:v>
      </x:c>
      <x:c r="D10" s="28" t="str">
        <x:v>QA status, open defects, rollback plan, documentation status</x:v>
      </x:c>
      <x:c r="E10" s="28" t="str">
        <x:v>PM, QA, sponsor</x:v>
      </x:c>
      <x:c r="F10" s="28" t="str">
        <x:v>S18</x:v>
      </x:c>
      <x:c r="G10" s="28" t="str">
        <x:v>Controls deployment risk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0" hidden="0" customWidth="1"/>
    <x:col min="4" max="4" width="28" hidden="0" customWidth="1"/>
    <x:col min="5" max="5" width="14" hidden="0" customWidth="1"/>
    <x:col min="6" max="6" width="14" hidden="0" customWidth="1"/>
    <x:col min="7" max="7" width="55" hidden="0" customWidth="1"/>
    <x:col min="8" max="8" width="42" hidden="0" customWidth="1"/>
  </x:cols>
  <x:sheetData>
    <x:row r="1" ht="28" customHeight="1">
      <x:c r="A1" s="20" t="str">
        <x:v>Staged Delivery Roadmap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3" ht="34" customHeight="1">
      <x:c r="A3" s="26" t="str">
        <x:v>Phase</x:v>
      </x:c>
      <x:c r="B3" s="26" t="str">
        <x:v>Name</x:v>
      </x:c>
      <x:c r="C3" s="26" t="str">
        <x:v>Goal</x:v>
      </x:c>
      <x:c r="D3" s="26" t="str">
        <x:v>Primary Team</x:v>
      </x:c>
      <x:c r="E3" s="26" t="str">
        <x:v>Start</x:v>
      </x:c>
      <x:c r="F3" s="26" t="str">
        <x:v>End</x:v>
      </x:c>
      <x:c r="G3" s="26" t="str">
        <x:v>Key Deliverables</x:v>
      </x:c>
      <x:c r="H3" s="26" t="str">
        <x:v>Exit Criteria</x:v>
      </x:c>
    </x:row>
    <x:row r="4">
      <x:c r="A4" s="28" t="str">
        <x:v>Phase 0</x:v>
      </x:c>
      <x:c r="B4" s="28" t="str">
        <x:v>Discovery and Validation</x:v>
      </x:c>
      <x:c r="C4" s="28" t="str">
        <x:v>Validate target users, pain intensity and willingness to pay</x:v>
      </x:c>
      <x:c r="D4" s="28" t="str">
        <x:v>Founder + PM</x:v>
      </x:c>
      <x:c r="E4" s="34" t="str">
        <x:v>2026-05-01</x:v>
      </x:c>
      <x:c r="F4" s="34" t="str">
        <x:v>2026-05-14</x:v>
      </x:c>
      <x:c r="G4" s="28" t="str">
        <x:v>Problem statements, personas, competitor scan</x:v>
      </x:c>
      <x:c r="H4" s="28" t="str">
        <x:v>Go/no-go for MVP</x:v>
      </x:c>
    </x:row>
    <x:row r="5">
      <x:c r="A5" s="28" t="str">
        <x:v>MVP 1</x:v>
      </x:c>
      <x:c r="B5" s="28" t="str">
        <x:v>Idea to Strategy to PRD</x:v>
      </x:c>
      <x:c r="C5" s="28" t="str">
        <x:v>Build idea intake, brainstorming, strategy, PRD and Mermaid generator</x:v>
      </x:c>
      <x:c r="D5" s="28" t="str">
        <x:v>Product + AI + Frontend</x:v>
      </x:c>
      <x:c r="E5" s="34" t="str">
        <x:v>2026-05-15</x:v>
      </x:c>
      <x:c r="F5" s="34" t="str">
        <x:v>2026-06-30</x:v>
      </x:c>
      <x:c r="G5" s="28" t="str">
        <x:v>Idea workspace, PRD generator, diagrams</x:v>
      </x:c>
      <x:c r="H5" s="28" t="str">
        <x:v>Users can create product pack from idea</x:v>
      </x:c>
    </x:row>
    <x:row r="6">
      <x:c r="A6" s="28" t="str">
        <x:v>MVP 2</x:v>
      </x:c>
      <x:c r="B6" s="28" t="str">
        <x:v>Requirements to Backlog</x:v>
      </x:c>
      <x:c r="C6" s="28" t="str">
        <x:v>Build epic/story/AC generation plus Jira/Confluence sync</x:v>
      </x:c>
      <x:c r="D6" s="28" t="str">
        <x:v>BA + Backend + PM</x:v>
      </x:c>
      <x:c r="E6" s="34" t="str">
        <x:v>2026-07-01</x:v>
      </x:c>
      <x:c r="F6" s="34" t="str">
        <x:v>2026-08-15</x:v>
      </x:c>
      <x:c r="G6" s="28" t="str">
        <x:v>Backlog generator, AC library, syncs</x:v>
      </x:c>
      <x:c r="H6" s="28" t="str">
        <x:v>Backlog can be pushed to delivery tools</x:v>
      </x:c>
    </x:row>
    <x:row r="7">
      <x:c r="A7" s="28" t="str">
        <x:v>MVP 3</x:v>
      </x:c>
      <x:c r="B7" s="28" t="str">
        <x:v>Traceability and Validation</x:v>
      </x:c>
      <x:c r="C7" s="28" t="str">
        <x:v>Build GitHub/IDE sync, code-story linking and validation matrix</x:v>
      </x:c>
      <x:c r="D7" s="28" t="str">
        <x:v>Engineering + QA + AI</x:v>
      </x:c>
      <x:c r="E7" s="34" t="str">
        <x:v>2026-08-16</x:v>
      </x:c>
      <x:c r="F7" s="34" t="str">
        <x:v>2026-10-15</x:v>
      </x:c>
      <x:c r="G7" s="28" t="str">
        <x:v>Traceability matrix, code validation</x:v>
      </x:c>
      <x:c r="H7" s="28" t="str">
        <x:v>Story to code to test evidence works</x:v>
      </x:c>
    </x:row>
    <x:row r="8">
      <x:c r="A8" s="28" t="str">
        <x:v>MVP 4</x:v>
      </x:c>
      <x:c r="B8" s="28" t="str">
        <x:v>Reporting and Intelligence Loop</x:v>
      </x:c>
      <x:c r="C8" s="28" t="str">
        <x:v>Build meeting notes, dashboards, metrics, risk and feedback loop</x:v>
      </x:c>
      <x:c r="D8" s="28" t="str">
        <x:v>PMO + Data + AI</x:v>
      </x:c>
      <x:c r="E8" s="34" t="str">
        <x:v>2026-10-16</x:v>
      </x:c>
      <x:c r="F8" s="34" t="str">
        <x:v>2026-12-15</x:v>
      </x:c>
      <x:c r="G8" s="28" t="str">
        <x:v>Progress cards, risk forecasting, feedback insights</x:v>
      </x:c>
      <x:c r="H8" s="28" t="str">
        <x:v>Closed-loop delivery intelligence</x:v>
      </x:c>
    </x:row>
    <x:row r="9">
      <x:c r="A9" s="28" t="str">
        <x:v>Scale</x:v>
      </x:c>
      <x:c r="B9" s="28" t="str">
        <x:v>Enterprise and Portfolio</x:v>
      </x:c>
      <x:c r="C9" s="28" t="str">
        <x:v>Add multi-project, governance, audit, custom workflows and marketplace integrations</x:v>
      </x:c>
      <x:c r="D9" s="28" t="str">
        <x:v>Leadership + Platform Team</x:v>
      </x:c>
      <x:c r="E9" s="34" t="str">
        <x:v>2026-12-16</x:v>
      </x:c>
      <x:c r="F9" s="34" t="str">
        <x:v>2027-03-31</x:v>
      </x:c>
      <x:c r="G9" s="28" t="str">
        <x:v>Portfolio dashboards, governance controls</x:v>
      </x:c>
      <x:c r="H9" s="28" t="str">
        <x:v>Enterprise pilots ready</x:v>
      </x:c>
    </x:row>
    <x:row r="10">
      <x:c r="E10" s="35"/>
      <x:c r="F10" s="35"/>
    </x:row>
    <x:row r="11">
      <x:c r="E11" s="35"/>
      <x:c r="F11" s="35"/>
    </x:row>
    <x:row r="12">
      <x:c r="E12" s="35"/>
      <x:c r="F12" s="35"/>
    </x:row>
    <x:row r="13">
      <x:c r="E13" s="35"/>
      <x:c r="F13" s="35"/>
    </x:row>
    <x:row r="14">
      <x:c r="E14" s="35"/>
      <x:c r="F14" s="35"/>
    </x:row>
    <x:row r="15">
      <x:c r="E15" s="35"/>
      <x:c r="F15" s="35"/>
    </x:row>
    <x:row r="16">
      <x:c r="E16" s="35"/>
      <x:c r="F16" s="35"/>
    </x:row>
    <x:row r="17">
      <x:c r="E17" s="35"/>
      <x:c r="F17" s="35"/>
    </x:row>
    <x:row r="18">
      <x:c r="E18" s="35"/>
      <x:c r="F18" s="35"/>
    </x:row>
    <x:row r="19">
      <x:c r="E19" s="35"/>
      <x:c r="F19" s="35"/>
    </x:row>
    <x:row r="20">
      <x:c r="E20" s="35"/>
      <x:c r="F20" s="3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50" hidden="0" customWidth="1"/>
    <x:col min="4" max="4" width="42" hidden="0" customWidth="1"/>
  </x:cols>
  <x:sheetData>
    <x:row r="1" ht="28" customHeight="1">
      <x:c r="A1" s="20" t="str">
        <x:v>Team Roles, Responsibilities and Collaboration Model</x:v>
      </x:c>
      <x:c r="B1" s="7" t="str"/>
      <x:c r="C1" s="7" t="str"/>
      <x:c r="D1" s="7" t="str"/>
    </x:row>
    <x:row r="3" ht="34" customHeight="1">
      <x:c r="A3" s="26" t="str">
        <x:v>Role</x:v>
      </x:c>
      <x:c r="B3" s="26" t="str">
        <x:v>Core Responsibility</x:v>
      </x:c>
      <x:c r="C3" s="26" t="str">
        <x:v>Key Artefacts</x:v>
      </x:c>
      <x:c r="D3" s="26" t="str">
        <x:v>Meeting / Collaboration Rhythm</x:v>
      </x:c>
    </x:row>
    <x:row r="4">
      <x:c r="A4" s="28" t="str">
        <x:v>Product Manager</x:v>
      </x:c>
      <x:c r="B4" s="28" t="str">
        <x:v>Owns vision, roadmap, PRD, prioritisation and value metrics</x:v>
      </x:c>
      <x:c r="C4" s="28" t="str">
        <x:v>Product strategy, PRD, roadmap, metric definitions</x:v>
      </x:c>
      <x:c r="D4" s="28" t="str">
        <x:v>Daily with BA/Engineering; weekly with sponsor</x:v>
      </x:c>
    </x:row>
    <x:row r="5">
      <x:c r="A5" s="28" t="str">
        <x:v>Project Manager</x:v>
      </x:c>
      <x:c r="B5" s="28" t="str">
        <x:v>Owns delivery plan, ceremonies, RAID, budget, resource planning and reports</x:v>
      </x:c>
      <x:c r="C5" s="28" t="str">
        <x:v>Project charter, timeline, RAID, progress cards</x:v>
      </x:c>
      <x:c r="D5" s="28" t="str">
        <x:v>Daily standup; weekly governance</x:v>
      </x:c>
    </x:row>
    <x:row r="6">
      <x:c r="A6" s="28" t="str">
        <x:v>Business Analyst</x:v>
      </x:c>
      <x:c r="B6" s="28" t="str">
        <x:v>Owns BRD, FRD, user stories, acceptance criteria and traceability</x:v>
      </x:c>
      <x:c r="C6" s="28" t="str">
        <x:v>Requirements, stories, AC, process maps</x:v>
      </x:c>
      <x:c r="D6" s="28" t="str">
        <x:v>Daily with PM/QA; sprint refinement</x:v>
      </x:c>
    </x:row>
    <x:row r="7">
      <x:c r="A7" s="28" t="str">
        <x:v>Engineering Lead</x:v>
      </x:c>
      <x:c r="B7" s="28" t="str">
        <x:v>Owns technical feasibility, architecture, implementation quality and code traceability</x:v>
      </x:c>
      <x:c r="C7" s="28" t="str">
        <x:v>Architecture, API plan, PR mapping, technical risks</x:v>
      </x:c>
      <x:c r="D7" s="28" t="str">
        <x:v>Daily with engineers; sprint review</x:v>
      </x:c>
    </x:row>
    <x:row r="8">
      <x:c r="A8" s="28" t="str">
        <x:v>AI Engineer</x:v>
      </x:c>
      <x:c r="B8" s="28" t="str">
        <x:v>Owns AI workflows, prompt orchestration, model evaluation and cost control</x:v>
      </x:c>
      <x:c r="C8" s="28" t="str">
        <x:v>Prompt library, agent flows, evaluation harness</x:v>
      </x:c>
      <x:c r="D8" s="28" t="str">
        <x:v>Weekly AI quality review</x:v>
      </x:c>
    </x:row>
    <x:row r="9">
      <x:c r="A9" s="28" t="str">
        <x:v>QA Lead</x:v>
      </x:c>
      <x:c r="B9" s="28" t="str">
        <x:v>Owns test strategy, acceptance validation and defect evidence</x:v>
      </x:c>
      <x:c r="C9" s="28" t="str">
        <x:v>Test plans, validation reports, coverage matrix</x:v>
      </x:c>
      <x:c r="D9" s="28" t="str">
        <x:v>Sprint QA review</x:v>
      </x:c>
    </x:row>
    <x:row r="10">
      <x:c r="A10" s="28" t="str">
        <x:v>Solution Architect</x:v>
      </x:c>
      <x:c r="B10" s="28" t="str">
        <x:v>Owns technical diagrams, integration patterns and system standards</x:v>
      </x:c>
      <x:c r="C10" s="28" t="str">
        <x:v>Mermaid diagrams, architecture decisions</x:v>
      </x:c>
      <x:c r="D10" s="28" t="str">
        <x:v>Architecture review board</x:v>
      </x:c>
    </x:row>
    <x:row r="11">
      <x:c r="A11" s="28" t="str">
        <x:v>Sponsor / Founder</x:v>
      </x:c>
      <x:c r="B11" s="28" t="str">
        <x:v>Owns funding decisions, strategy approval and business outcomes</x:v>
      </x:c>
      <x:c r="C11" s="28" t="str">
        <x:v>Approved scope, budget, success criteria</x:v>
      </x:c>
      <x:c r="D11" s="28" t="str">
        <x:v>Monthly steering review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55" hidden="0" customWidth="1"/>
    <x:col min="4" max="4" width="42" hidden="0" customWidth="1"/>
    <x:col min="5" max="5" width="14" hidden="0" customWidth="1"/>
    <x:col min="6" max="6" width="12" hidden="0" customWidth="1"/>
    <x:col min="7" max="7" width="16" hidden="0" customWidth="1"/>
  </x:cols>
  <x:sheetData>
    <x:row r="1" ht="28" customHeight="1">
      <x:c r="A1" s="20" t="str">
        <x:v>Integration and Automation Plan</x:v>
      </x:c>
      <x:c r="B1" s="7" t="str"/>
      <x:c r="C1" s="7" t="str"/>
      <x:c r="D1" s="7" t="str"/>
      <x:c r="E1" s="7" t="str"/>
      <x:c r="F1" s="7" t="str"/>
      <x:c r="G1" s="7" t="str"/>
    </x:row>
    <x:row r="3" ht="34" customHeight="1">
      <x:c r="A3" s="26" t="str">
        <x:v>Tool</x:v>
      </x:c>
      <x:c r="B3" s="26" t="str">
        <x:v>Purpose</x:v>
      </x:c>
      <x:c r="C3" s="26" t="str">
        <x:v>Automation</x:v>
      </x:c>
      <x:c r="D3" s="26" t="str">
        <x:v>Requirement</x:v>
      </x:c>
      <x:c r="E3" s="26" t="str">
        <x:v>Phase</x:v>
      </x:c>
      <x:c r="F3" s="26" t="str">
        <x:v>Priority</x:v>
      </x:c>
      <x:c r="G3" s="26" t="str">
        <x:v>Linked Epic</x:v>
      </x:c>
    </x:row>
    <x:row r="4">
      <x:c r="A4" s="28" t="str">
        <x:v>Confluence</x:v>
      </x:c>
      <x:c r="B4" s="28" t="str">
        <x:v>Documentation source of truth</x:v>
      </x:c>
      <x:c r="C4" s="28" t="str">
        <x:v>Create/update PRD, BRD, release notes, decision logs</x:v>
      </x:c>
      <x:c r="D4" s="28" t="str">
        <x:v>OAuth/API token, page templates</x:v>
      </x:c>
      <x:c r="E4" s="28" t="str">
        <x:v>MVP 2</x:v>
      </x:c>
      <x:c r="F4" s="28" t="str">
        <x:v>High</x:v>
      </x:c>
      <x:c r="G4" s="28" t="str">
        <x:v>E08</x:v>
      </x:c>
    </x:row>
    <x:row r="5">
      <x:c r="A5" s="28" t="str">
        <x:v>Jira / Linear</x:v>
      </x:c>
      <x:c r="B5" s="28" t="str">
        <x:v>Backlog and sprint execution</x:v>
      </x:c>
      <x:c r="C5" s="28" t="str">
        <x:v>Create/update epics, stories, AC, status, dependencies</x:v>
      </x:c>
      <x:c r="D5" s="28" t="str">
        <x:v>Project keys, field mapping, webhooks</x:v>
      </x:c>
      <x:c r="E5" s="28" t="str">
        <x:v>MVP 2</x:v>
      </x:c>
      <x:c r="F5" s="28" t="str">
        <x:v>High</x:v>
      </x:c>
      <x:c r="G5" s="28" t="str">
        <x:v>E09</x:v>
      </x:c>
    </x:row>
    <x:row r="6">
      <x:c r="A6" s="28" t="str">
        <x:v>GitHub / GitLab</x:v>
      </x:c>
      <x:c r="B6" s="28" t="str">
        <x:v>Code traceability</x:v>
      </x:c>
      <x:c r="C6" s="28" t="str">
        <x:v>Link branches, commits, PRs and tests to stories</x:v>
      </x:c>
      <x:c r="D6" s="28" t="str">
        <x:v>Repo access, branch rules, PR templates</x:v>
      </x:c>
      <x:c r="E6" s="28" t="str">
        <x:v>MVP 3</x:v>
      </x:c>
      <x:c r="F6" s="28" t="str">
        <x:v>High</x:v>
      </x:c>
      <x:c r="G6" s="28" t="str">
        <x:v>E10,E11</x:v>
      </x:c>
    </x:row>
    <x:row r="7">
      <x:c r="A7" s="28" t="str">
        <x:v>Cursor / VS Code / Windsurf</x:v>
      </x:c>
      <x:c r="B7" s="28" t="str">
        <x:v>Developer execution context</x:v>
      </x:c>
      <x:c r="C7" s="28" t="str">
        <x:v>Push story context and build instructions into IDE</x:v>
      </x:c>
      <x:c r="D7" s="28" t="str">
        <x:v>IDE extension or generated task files</x:v>
      </x:c>
      <x:c r="E7" s="28" t="str">
        <x:v>MVP 3</x:v>
      </x:c>
      <x:c r="F7" s="28" t="str">
        <x:v>Medium</x:v>
      </x:c>
      <x:c r="G7" s="28" t="str">
        <x:v>E10</x:v>
      </x:c>
    </x:row>
    <x:row r="8">
      <x:c r="A8" s="28" t="str">
        <x:v>Slack / Teams</x:v>
      </x:c>
      <x:c r="B8" s="28" t="str">
        <x:v>Meeting and status capture</x:v>
      </x:c>
      <x:c r="C8" s="28" t="str">
        <x:v>Capture notes, blockers, decisions and updates</x:v>
      </x:c>
      <x:c r="D8" s="28" t="str">
        <x:v>Bot integration, channel permissions</x:v>
      </x:c>
      <x:c r="E8" s="28" t="str">
        <x:v>MVP 3</x:v>
      </x:c>
      <x:c r="F8" s="28" t="str">
        <x:v>Medium</x:v>
      </x:c>
      <x:c r="G8" s="28" t="str">
        <x:v>E13</x:v>
      </x:c>
    </x:row>
    <x:row r="9">
      <x:c r="A9" s="28" t="str">
        <x:v>Figma</x:v>
      </x:c>
      <x:c r="B9" s="28" t="str">
        <x:v>Design context</x:v>
      </x:c>
      <x:c r="C9" s="28" t="str">
        <x:v>Link designs to stories and PRDs</x:v>
      </x:c>
      <x:c r="D9" s="28" t="str">
        <x:v>File access, component links</x:v>
      </x:c>
      <x:c r="E9" s="28" t="str">
        <x:v>MVP 2</x:v>
      </x:c>
      <x:c r="F9" s="28" t="str">
        <x:v>Medium</x:v>
      </x:c>
      <x:c r="G9" s="28" t="str">
        <x:v>E05</x:v>
      </x:c>
    </x:row>
    <x:row r="10">
      <x:c r="A10" s="28" t="str">
        <x:v>Analytics platform</x:v>
      </x:c>
      <x:c r="B10" s="28" t="str">
        <x:v>Product metrics</x:v>
      </x:c>
      <x:c r="C10" s="28" t="str">
        <x:v>Capture adoption, retention and feature engagement</x:v>
      </x:c>
      <x:c r="D10" s="28" t="str">
        <x:v>Event taxonomy, SDK/API</x:v>
      </x:c>
      <x:c r="E10" s="28" t="str">
        <x:v>MVP 4</x:v>
      </x:c>
      <x:c r="F10" s="28" t="str">
        <x:v>Medium</x:v>
      </x:c>
      <x:c r="G10" s="28" t="str">
        <x:v>E16</x:v>
      </x:c>
    </x:row>
    <x:row r="11">
      <x:c r="A11" s="28" t="str">
        <x:v>CI/CD tool</x:v>
      </x:c>
      <x:c r="B11" s="28" t="str">
        <x:v>Validation evidence</x:v>
      </x:c>
      <x:c r="C11" s="28" t="str">
        <x:v>Pull test results and deployment status</x:v>
      </x:c>
      <x:c r="D11" s="28" t="str">
        <x:v>Pipeline API, test report format</x:v>
      </x:c>
      <x:c r="E11" s="28" t="str">
        <x:v>MVP 3</x:v>
      </x:c>
      <x:c r="F11" s="28" t="str">
        <x:v>High</x:v>
      </x:c>
      <x:c r="G11" s="28" t="str">
        <x:v>E11,E18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0" hidden="0" customWidth="1"/>
    <x:col min="3" max="3" width="50" hidden="0" customWidth="1"/>
  </x:cols>
  <x:sheetData>
    <x:row r="1" ht="28" customHeight="1">
      <x:c r="A1" s="20" t="str">
        <x:v>Mermaid Source and Interpretation</x:v>
      </x:c>
      <x:c r="B1" s="7" t="str"/>
      <x:c r="C1" s="7" t="str"/>
    </x:row>
    <x:row r="3" ht="34" customHeight="1">
      <x:c r="A3" s="26" t="str">
        <x:v>Diagram Name</x:v>
      </x:c>
      <x:c r="B3" s="26" t="str">
        <x:v>Mermaid Source</x:v>
      </x:c>
      <x:c r="C3" s="26" t="str">
        <x:v>How to Use</x:v>
      </x:c>
    </x:row>
    <x:row r="4">
      <x:c r="A4" s="28" t="str">
        <x:v>Closed Loop Delivery System</x:v>
      </x:c>
      <x:c r="B4" s="28" t="str">
        <x:v>flowchart TD
    A[Raw Idea / Business Problem] --&gt; B[AI Brainstorming Engine]
    B --&gt; C[Problem, Users, Goals, USP]
    C --&gt; D[Product Strategy]
    D --&gt; E[PRD / BRD / FRD]
    E --&gt; F[Epics + User Stories]
    F --&gt; G[Acceptance Criteria]
    G --&gt; H[Jira / Linear Backlog]
    H --&gt; I[Developer IDE / GitHub Tasks]
    I --&gt; J[Code Built]
    J --&gt; K[Tests + Code Validation]
    K --&gt; L{Does code match requirements?}
    L -- Yes --&gt; M[Update Confluence Documentation]
    M --&gt; N[Update Mermaid Architecture &amp; Workflow Diagrams]
    N --&gt; O[Update Progress Dashboards]
    O --&gt; P[Daily / Weekly / Monthly / Quarterly Reports]
    P --&gt; Q[Stakeholder Review]
    Q --&gt; R{New feedback or change request?}
    R -- Yes --&gt; B
    R -- No --&gt; S[Release / Deployment]
    S --&gt; T[User Feedback + Product Metrics]
    T --&gt; U{New problem, risk, or opportunity?}
    U -- Yes --&gt; B
    U -- No --&gt; V[Continuous Monitoring]
    L -- No --&gt; W[Gap Detected]
    W --&gt; X[Create Bug / Change Request]
    X --&gt; H
    V --&gt; T</x:v>
      </x:c>
      <x:c r="C4" s="28" t="str">
        <x:v>Paste into Mermaid renderer; update when code or architecture changes.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00" hidden="0" customWidth="1"/>
  </x:cols>
  <x:sheetData>
    <x:row r="1" ht="28" customHeight="1">
      <x:c r="A1" s="20" t="str">
        <x:v>Research Sources Used to Shape the Workbook</x:v>
      </x:c>
      <x:c r="B1" s="7" t="str"/>
    </x:row>
    <x:row r="3" ht="34" customHeight="1">
      <x:c r="A3" s="26" t="str">
        <x:v>Source</x:v>
      </x:c>
      <x:c r="B3" s="26" t="str">
        <x:v>URL</x:v>
      </x:c>
    </x:row>
    <x:row r="4">
      <x:c r="A4" s="28" t="str">
        <x:v>ChatPRD AI tools for PMs 2026</x:v>
      </x:c>
      <x:c r="B4" s="28" t="str">
        <x:v>https://www.chatprd.ai/learn/best-ai-tools-for-product-managers</x:v>
      </x:c>
    </x:row>
    <x:row r="5">
      <x:c r="A5" s="28" t="str">
        <x:v>Kualitee RTM guide 2026</x:v>
      </x:c>
      <x:c r="B5" s="28" t="str">
        <x:v>https://www.kualitee.com/blog/test-management/requirements-traceability-matrix-death-by-excel-or-a-useful-tool/</x:v>
      </x:c>
    </x:row>
    <x:row r="6">
      <x:c r="A6" s="28" t="str">
        <x:v>TestCollab requirement traceability article 2025</x:v>
      </x:c>
      <x:c r="B6" s="28" t="str">
        <x:v>https://testcollab.com/blog/why-requirement-traceability-still-breaks-teams--and-how-testcollab-fixes-it</x:v>
      </x:c>
    </x:row>
    <x:row r="7">
      <x:c r="A7" s="28" t="str">
        <x:v>BridgeApp AI project management tools 2026</x:v>
      </x:c>
      <x:c r="B7" s="28" t="str">
        <x:v>https://bridgeapp.ai/resources/blog/best-ai-project-management-tools-in-2026</x:v>
      </x:c>
    </x:row>
    <x:row r="8">
      <x:c r="A8" s="28" t="str">
        <x:v>ProductPlan cross-functional product teams</x:v>
      </x:c>
      <x:c r="B8" s="28" t="str">
        <x:v>https://www.productplan.com/learn/cross-functional-team</x:v>
      </x:c>
    </x:row>
    <x:row r="9">
      <x:c r="A9" s="28" t="str">
        <x:v>Agile Business Consortium requirements and user stories</x:v>
      </x:c>
      <x:c r="B9" s="28" t="str">
        <x:v>https://www.agilebusiness.org/dsdm-project-framework/requirements-and-user-stories.html</x:v>
      </x:c>
    </x:row>
    <x:row r="10">
      <x:c r="A10" s="28" t="str">
        <x:v>Plane project management principles 2025</x:v>
      </x:c>
      <x:c r="B10" s="28" t="str">
        <x:v>https://plane.so/blog/project-management-principles</x:v>
      </x:c>
    </x:row>
  </x:sheetData>
  <x:pageMargins left="0.7" right="0.7" top="0.75" bottom="0.75" header="0.3" footer="0.3"/>
</x:worksheet>
</file>